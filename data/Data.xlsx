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Master's Studies\Querrying, Data Presentation, Data Visualisation and Reporting\Project\"/>
    </mc:Choice>
  </mc:AlternateContent>
  <xr:revisionPtr revIDLastSave="0" documentId="13_ncr:1_{A22A125B-CD32-4E6E-A755-DA69264C4F61}" xr6:coauthVersionLast="47" xr6:coauthVersionMax="47" xr10:uidLastSave="{00000000-0000-0000-0000-000000000000}"/>
  <bookViews>
    <workbookView xWindow="-108" yWindow="-108" windowWidth="23256" windowHeight="12456" activeTab="2" xr2:uid="{00000000-000D-0000-FFFF-FFFF00000000}"/>
  </bookViews>
  <sheets>
    <sheet name="Cleaned Data" sheetId="6" r:id="rId1"/>
    <sheet name="Series - Metadata" sheetId="2" r:id="rId2"/>
    <sheet name="Stats" sheetId="7"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7" l="1"/>
  <c r="H11" i="7"/>
  <c r="H10" i="7"/>
  <c r="H9" i="7"/>
  <c r="H7" i="7"/>
  <c r="H6" i="7"/>
  <c r="H5" i="7"/>
  <c r="H4" i="7"/>
  <c r="H3" i="7"/>
  <c r="G11" i="7"/>
  <c r="G10" i="7"/>
  <c r="G9" i="7"/>
  <c r="G8" i="7"/>
  <c r="G7" i="7"/>
  <c r="G6" i="7"/>
  <c r="G5" i="7"/>
  <c r="G4" i="7"/>
  <c r="G3" i="7"/>
  <c r="F11" i="7"/>
  <c r="F10" i="7"/>
  <c r="F9" i="7"/>
  <c r="F8" i="7"/>
  <c r="F7" i="7"/>
  <c r="F6" i="7"/>
  <c r="F5" i="7"/>
  <c r="F4" i="7"/>
  <c r="F3" i="7"/>
  <c r="C11" i="7"/>
  <c r="C10" i="7"/>
  <c r="E11" i="7"/>
  <c r="E10" i="7"/>
  <c r="E9" i="7"/>
  <c r="E8" i="7"/>
  <c r="E7" i="7"/>
  <c r="E6" i="7"/>
  <c r="E5" i="7"/>
  <c r="E4" i="7"/>
  <c r="E3" i="7"/>
  <c r="D11" i="7"/>
  <c r="D10" i="7"/>
  <c r="D9" i="7"/>
  <c r="D8" i="7"/>
  <c r="D7" i="7"/>
  <c r="D6" i="7"/>
  <c r="D5" i="7"/>
  <c r="D4" i="7"/>
  <c r="D3" i="7"/>
  <c r="C9" i="7"/>
  <c r="C8" i="7"/>
  <c r="C7" i="7"/>
  <c r="C6" i="7"/>
  <c r="C5" i="7"/>
  <c r="C4" i="7"/>
  <c r="C3" i="7"/>
  <c r="I155" i="6"/>
  <c r="I154" i="6" s="1"/>
  <c r="I153" i="6" s="1"/>
  <c r="I152" i="6" s="1"/>
  <c r="I151" i="6" s="1"/>
  <c r="I150" i="6" s="1"/>
  <c r="I149" i="6" s="1"/>
  <c r="I148" i="6" s="1"/>
  <c r="I147" i="6" s="1"/>
  <c r="I146" i="6" s="1"/>
  <c r="I40" i="6"/>
  <c r="I39" i="6" s="1"/>
  <c r="I38" i="6" s="1"/>
  <c r="I37" i="6" s="1"/>
  <c r="I36" i="6" s="1"/>
  <c r="I35" i="6"/>
  <c r="I34" i="6" s="1"/>
  <c r="I33" i="6" s="1"/>
  <c r="I32" i="6" s="1"/>
  <c r="I31" i="6" s="1"/>
  <c r="I30" i="6" s="1"/>
  <c r="I29" i="6" s="1"/>
  <c r="I28" i="6" s="1"/>
  <c r="I27" i="6" s="1"/>
  <c r="I26" i="6"/>
  <c r="H188" i="6"/>
  <c r="H169" i="6"/>
  <c r="C97" i="6"/>
  <c r="G217" i="6"/>
  <c r="G193" i="6"/>
  <c r="G169" i="6"/>
  <c r="G145" i="6"/>
  <c r="G97" i="6"/>
  <c r="G49" i="6"/>
  <c r="G25" i="6"/>
</calcChain>
</file>

<file path=xl/sharedStrings.xml><?xml version="1.0" encoding="utf-8"?>
<sst xmlns="http://schemas.openxmlformats.org/spreadsheetml/2006/main" count="636" uniqueCount="146">
  <si>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</si>
  <si>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</si>
  <si>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</si>
  <si>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</si>
  <si>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</si>
  <si>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</si>
  <si>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</si>
  <si>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</si>
  <si>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</si>
  <si>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</si>
  <si>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</si>
  <si>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</si>
  <si>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</si>
  <si>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</si>
  <si>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</si>
  <si>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</si>
  <si>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</si>
  <si>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</si>
  <si>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</si>
  <si>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</si>
  <si>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</si>
  <si>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</si>
  <si>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</si>
  <si>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</si>
  <si>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Switzerland</t>
  </si>
  <si>
    <t>Life expectancy at birth, total (years)</t>
  </si>
  <si>
    <t>GDP per capita (constant 2015 US$)</t>
  </si>
  <si>
    <t>School enrollment, secondary (% gross)</t>
  </si>
  <si>
    <t>School enrollment, tertiary (% gross)</t>
  </si>
  <si>
    <t>Fertility rate, total (births per woman)</t>
  </si>
  <si>
    <t>Mortality rate, infant (per 1,000 live births)</t>
  </si>
  <si>
    <t>Carbon dioxide (CO2) emissions excluding LULUCF per capita (t CO2e/capita)</t>
  </si>
  <si>
    <t>People using at least basic sanitation services (% of population)</t>
  </si>
  <si>
    <t>Australia</t>
  </si>
  <si>
    <t>Sweden</t>
  </si>
  <si>
    <t>France</t>
  </si>
  <si>
    <t>Poland</t>
  </si>
  <si>
    <t>China</t>
  </si>
  <si>
    <t>Brazil</t>
  </si>
  <si>
    <t>Kenya</t>
  </si>
  <si>
    <t>Chad</t>
  </si>
  <si>
    <t>Country</t>
  </si>
  <si>
    <t>Current health expenditure per capita (current US$)</t>
  </si>
  <si>
    <t>Code</t>
  </si>
  <si>
    <t>License Type</t>
  </si>
  <si>
    <t>Indicator Name</t>
  </si>
  <si>
    <t>Short definition</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</si>
  <si>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</si>
  <si>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</si>
  <si>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</si>
  <si>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</si>
  <si>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</si>
  <si>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</si>
  <si>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</si>
  <si>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</si>
  <si>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</si>
  <si>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</si>
  <si>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</si>
  <si>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Other notes</t>
  </si>
  <si>
    <t>License URL</t>
  </si>
  <si>
    <t>SP.DYN.LE00.IN</t>
  </si>
  <si>
    <t>CC BY-4.0</t>
  </si>
  <si>
    <t>Life expectancy at birth indicates the number of years a newborn infant would live if prevailing patterns of mortality at the time of its birth were to stay the same throughout its life.</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</si>
  <si>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</si>
  <si>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Health: Mortality</t>
  </si>
  <si>
    <t>WDI</t>
  </si>
  <si>
    <t>Years</t>
  </si>
  <si>
    <t>Annual</t>
  </si>
  <si>
    <t>1960-2023</t>
  </si>
  <si>
    <t>Weighted average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</si>
  <si>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</si>
  <si>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</si>
  <si>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Annual data series from United Nations Population Division's World Population Prospects are interpolated data from 5-year period data. Therefore they may not reflect real events as much as observed data.</t>
  </si>
  <si>
    <t>https://datacatalog.worldbank.org/public-licenses#cc-by</t>
  </si>
  <si>
    <t>NY.GDP.PCAP.KD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</si>
  <si>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</si>
  <si>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Country official statistics, National Statistical Organizations and/or Central Banks;
National Accounts data files, Organisation for Economic Co-operation and Development (OECD);
Staff estimates, World Bank (WB)</t>
  </si>
  <si>
    <t>Economic Policy &amp; Debt: National accounts: US$ at constant 2015 prices: Aggregate indicators</t>
  </si>
  <si>
    <t>constant 2015 US$</t>
  </si>
  <si>
    <t>1960-2024</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</si>
  <si>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</si>
  <si>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</si>
  <si>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SH.XPD.EHEX.PC.CD</t>
  </si>
  <si>
    <t>Global Health Expenditure database, World Health Organization (WHO), uri: http://apps.who.int/nha/database</t>
  </si>
  <si>
    <t>Health: Health systems</t>
  </si>
  <si>
    <t>current US$</t>
  </si>
  <si>
    <t>2000-2023</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</si>
  <si>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</si>
  <si>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</si>
  <si>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SE.SEC.ENRR</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</si>
  <si>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</si>
  <si>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</si>
  <si>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Education: Participation</t>
  </si>
  <si>
    <t>% of population in the 5-year age group immediately following primary education</t>
  </si>
  <si>
    <t>1970-2023</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</si>
  <si>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</si>
  <si>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</si>
  <si>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</si>
  <si>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SE.TER.ENRR</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</si>
  <si>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</si>
  <si>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 of population in the 5-year age group immediately following upper secondary education</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</si>
  <si>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</si>
  <si>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</si>
  <si>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SP.DYN.TFRT.IN</t>
  </si>
  <si>
    <t>Total fertility rate represents the number of children that would be born to a woman if she were to live to the end of her childbearing years and bear children in accordance with age-specific fertility rates of the specified year.</t>
  </si>
  <si>
    <t>World Population Prospects, United Nations (UN), publisher: UN Population Division;
Statistical databases and publications from national statistical offices, National statistical offices;
Demographic Statistics, Eurostat (ESTAT)</t>
  </si>
  <si>
    <t>Health: Reproductive health</t>
  </si>
  <si>
    <t>Births per woman</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</si>
  <si>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</si>
  <si>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</si>
  <si>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Relevance to gender indicator: it can indicate the status of women within households and a woman’s decision about the number and spacing of children.</t>
  </si>
  <si>
    <t>SP.DYN.IMRT.IN</t>
  </si>
  <si>
    <t>Infant mortality rate is the number of infants dying before reaching one year of age, per 1,000 live births in a given year.</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</si>
  <si>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</si>
  <si>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Per 1000 live births</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</si>
  <si>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</si>
  <si>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</si>
  <si>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</si>
  <si>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EN.GHG.CO2.PC.CE.AR5</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</si>
  <si>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</si>
  <si>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EDGAR (Emissions Database for Global Atmospheric Research) Community GHG Database, Joint Research Centre (JRC) - European Commission, uri: https://edgar.jrc.ec.europa.eu/dataset_ghg2032, publisher: JRC European Commission, date published: 2024;
International Energy Agency (IEA), uri: https://edgar.jrc.ec.europa.eu/dataset_ghg2032, publisher: JRC European Commission, date published: 2024</t>
  </si>
  <si>
    <t>Environment: Emissions</t>
  </si>
  <si>
    <t>t CO2e/capita</t>
  </si>
  <si>
    <t>Weighted average using population as weights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</si>
  <si>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</si>
  <si>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Anthropogenic (human-caused) emissions of global greenhouse gases, including carbon dioxide (CO2), methane (CH4), nitrous oxide (NO2)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</si>
  <si>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</si>
  <si>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SH.STA.BASS.ZS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</si>
  <si>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</si>
  <si>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WHO/UNICEF Joint Monitoring Programme (JMP) for Water Supply, Sanitation and Hygiene, World Health Organization (WHO), uri: washdata.org, date accessed: 2023-07-25, date published: 2023-07-06;
UN Children's Fund (UNICEF), uri: washdata.org, note: WHO/UNICEF Joint Monitoring Programme (JMP) for Water Supply, Sanitation and Hygiene</t>
  </si>
  <si>
    <t>Health: Disease prevention</t>
  </si>
  <si>
    <t>% of population</t>
  </si>
  <si>
    <t>2000-2022</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</si>
  <si>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  This indicator encompasses both people using basic sanitation services as well as those using safely managed sanitation services.</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</si>
  <si>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</si>
  <si>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National, regional and income group estimates are made when data are available for at least 50 percent of the population.</t>
  </si>
  <si>
    <t>Health expenditure per capita (current US$)</t>
  </si>
  <si>
    <t>Current expenditures on health per capita expressed in current US dollars. External sources are composed of direct foreign transfers and foreign transfers distributed by government encompassing all financial inflows into the national health system from outside the country.</t>
  </si>
  <si>
    <t>Year</t>
  </si>
  <si>
    <t>Variable</t>
  </si>
  <si>
    <t>Mean</t>
  </si>
  <si>
    <t>Median</t>
  </si>
  <si>
    <t>SD</t>
  </si>
  <si>
    <t>Min</t>
  </si>
  <si>
    <t>Max</t>
  </si>
  <si>
    <t>Skewness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</si>
</sst>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00"/>
  </numFmts>
  <fonts count="6" x14ac:knownFonts="1">
    <font>
      <sz val="11"/>
      <color theme="1"/>
      <name val="Calibri"/>
      <family val="2"/>
      <scheme val="minor"/>
    </font>
    <font>
      <sz val="8"/>
      <name val="Calibri"/>
      <family val="2"/>
      <scheme val="minor"/>
    </font>
    <font>
      <sz val="11"/>
      <color rgb="FF000000"/>
      <name val="Calibri"/>
      <family val="2"/>
    </font>
    <font>
      <sz val="11"/>
      <color theme="1"/>
      <name val="Calibri"/>
      <family val="2"/>
      <scheme val="minor"/>
    </font>
    <font>
      <b/>
      <sz val="11"/>
      <color theme="1"/>
      <name val="Calibri"/>
      <family val="2"/>
      <charset val="238"/>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3" fillId="0" borderId="0" applyFont="0" applyFill="0" applyBorder="0" applyAlignment="0" applyProtection="0"/>
  </cellStyleXfs>
  <cellXfs count="9">
    <xf numFmtId="0" fontId="0" fillId="0" borderId="0" xfId="0"/>
    <xf numFmtId="164" fontId="0" fillId="0" borderId="0" xfId="0" applyNumberFormat="1"/>
    <xf numFmtId="0" fontId="2" fillId="0" borderId="0" xfId="0" applyFont="1"/>
    <xf numFmtId="0" fontId="4" fillId="0" borderId="0" xfId="0" applyFont="1" applyAlignment="1">
      <alignment wrapText="1"/>
    </xf>
    <xf numFmtId="2" fontId="0" fillId="0" borderId="0" xfId="0" applyNumberFormat="1"/>
    <xf numFmtId="0" fontId="5" fillId="0" borderId="0" xfId="0" applyFont="1" applyAlignment="1">
      <alignment horizontal="right" vertical="center" wrapText="1"/>
    </xf>
    <xf numFmtId="0" fontId="4" fillId="0" borderId="0" xfId="0" applyFont="1" applyAlignment="1">
      <alignment horizontal="right" wrapText="1"/>
    </xf>
    <xf numFmtId="0" fontId="4" fillId="0" borderId="0" xfId="0" applyFont="1"/>
    <xf numFmtId="43" fontId="0" fillId="0" borderId="0" xfId="1" applyNumberFormat="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84CDE-955E-4471-9E9A-DF5A678846E0}">
  <dimension ref="A1:K217"/>
  <sheetViews>
    <sheetView topLeftCell="A185" zoomScale="82" zoomScaleNormal="70" workbookViewId="0">
      <selection activeCell="G25" sqref="G25"/>
    </sheetView>
  </sheetViews>
  <sheetFormatPr defaultRowHeight="14.4" x14ac:dyDescent="0.3"/>
  <cols>
    <col min="3" max="3" width="14.6640625" customWidth="1"/>
    <col min="7" max="7" width="15.5546875" customWidth="1"/>
    <col min="8" max="9" width="9.33203125" bestFit="1" customWidth="1"/>
    <col min="11" max="11" width="9.33203125" bestFit="1" customWidth="1"/>
    <col min="14" max="14" width="9.33203125" bestFit="1" customWidth="1"/>
  </cols>
  <sheetData>
    <row r="1" spans="1:11" x14ac:dyDescent="0.3">
      <c r="A1" t="s">
        <v>138</v>
      </c>
      <c r="B1" t="s">
        <v>41</v>
      </c>
      <c r="C1" t="s">
        <v>25</v>
      </c>
      <c r="D1" t="s">
        <v>26</v>
      </c>
      <c r="E1" t="s">
        <v>29</v>
      </c>
      <c r="F1" t="s">
        <v>30</v>
      </c>
      <c r="G1" t="s">
        <v>42</v>
      </c>
      <c r="H1" t="s">
        <v>27</v>
      </c>
      <c r="I1" t="s">
        <v>28</v>
      </c>
      <c r="J1" t="s">
        <v>31</v>
      </c>
      <c r="K1" t="s">
        <v>32</v>
      </c>
    </row>
    <row r="2" spans="1:11" x14ac:dyDescent="0.3">
      <c r="A2" t="s">
        <v>0</v>
      </c>
      <c r="B2" t="s">
        <v>24</v>
      </c>
      <c r="C2">
        <v>79.680487804878055</v>
      </c>
      <c r="D2">
        <v>73749.938951796561</v>
      </c>
      <c r="E2">
        <v>1.5</v>
      </c>
      <c r="F2">
        <v>4.7</v>
      </c>
      <c r="G2">
        <v>3559.8198242200001</v>
      </c>
      <c r="H2" s="2">
        <v>94.549909999999997</v>
      </c>
      <c r="I2">
        <v>38.112758636474602</v>
      </c>
      <c r="J2">
        <v>6.2358492535755294</v>
      </c>
      <c r="K2">
        <v>99.880971084714503</v>
      </c>
    </row>
    <row r="3" spans="1:11" x14ac:dyDescent="0.3">
      <c r="A3" t="s">
        <v>1</v>
      </c>
      <c r="B3" t="s">
        <v>24</v>
      </c>
      <c r="C3">
        <v>80.180487804878055</v>
      </c>
      <c r="D3">
        <v>74439.463764473461</v>
      </c>
      <c r="E3">
        <v>1.38</v>
      </c>
      <c r="F3">
        <v>4.5999999999999996</v>
      </c>
      <c r="G3">
        <v>3763.3845214799999</v>
      </c>
      <c r="H3" s="2">
        <v>92.47</v>
      </c>
      <c r="I3">
        <v>39.223800659179702</v>
      </c>
      <c r="J3">
        <v>6.3934209459831415</v>
      </c>
      <c r="K3">
        <v>99.880968694112198</v>
      </c>
    </row>
    <row r="4" spans="1:11" x14ac:dyDescent="0.3">
      <c r="A4" t="s">
        <v>2</v>
      </c>
      <c r="B4" t="s">
        <v>24</v>
      </c>
      <c r="C4">
        <v>80.385365853658541</v>
      </c>
      <c r="D4">
        <v>73824.384916780909</v>
      </c>
      <c r="E4">
        <v>1.39</v>
      </c>
      <c r="F4">
        <v>4.5</v>
      </c>
      <c r="G4">
        <v>4211.7294921900002</v>
      </c>
      <c r="H4" s="2">
        <v>92.36</v>
      </c>
      <c r="I4">
        <v>39.960289001464801</v>
      </c>
      <c r="J4">
        <v>6.1220881476695235</v>
      </c>
      <c r="K4">
        <v>99.880982498063105</v>
      </c>
    </row>
    <row r="5" spans="1:11" x14ac:dyDescent="0.3">
      <c r="A5" t="s">
        <v>3</v>
      </c>
      <c r="B5" t="s">
        <v>24</v>
      </c>
      <c r="C5">
        <v>80.536585365853682</v>
      </c>
      <c r="D5">
        <v>73254.952986421908</v>
      </c>
      <c r="E5">
        <v>1.39</v>
      </c>
      <c r="F5">
        <v>4.5</v>
      </c>
      <c r="G5">
        <v>5018.52734375</v>
      </c>
      <c r="H5" s="2">
        <v>93.39</v>
      </c>
      <c r="I5">
        <v>43.050540924072301</v>
      </c>
      <c r="J5">
        <v>6.2525812436869819</v>
      </c>
      <c r="K5">
        <v>99.881004648580102</v>
      </c>
    </row>
    <row r="6" spans="1:11" x14ac:dyDescent="0.3">
      <c r="A6" t="s">
        <v>4</v>
      </c>
      <c r="B6" t="s">
        <v>24</v>
      </c>
      <c r="C6">
        <v>81.0878048780488</v>
      </c>
      <c r="D6">
        <v>74718.683626036393</v>
      </c>
      <c r="E6">
        <v>1.42</v>
      </c>
      <c r="F6">
        <v>4.4000000000000004</v>
      </c>
      <c r="G6">
        <v>5608.703125</v>
      </c>
      <c r="H6" s="2">
        <v>93.16</v>
      </c>
      <c r="I6">
        <v>44.880519866943402</v>
      </c>
      <c r="J6">
        <v>6.28305225231321</v>
      </c>
      <c r="K6">
        <v>99.881019073656802</v>
      </c>
    </row>
    <row r="7" spans="1:11" x14ac:dyDescent="0.3">
      <c r="A7" t="s">
        <v>5</v>
      </c>
      <c r="B7" t="s">
        <v>24</v>
      </c>
      <c r="C7">
        <v>81.236585365853671</v>
      </c>
      <c r="D7">
        <v>76282.984069661936</v>
      </c>
      <c r="E7">
        <v>1.42</v>
      </c>
      <c r="F7">
        <v>4.3</v>
      </c>
      <c r="G7">
        <v>5673.9399414099998</v>
      </c>
      <c r="H7" s="2">
        <v>92.43</v>
      </c>
      <c r="I7">
        <v>45.246528625488303</v>
      </c>
      <c r="J7">
        <v>6.3279645400131637</v>
      </c>
      <c r="K7">
        <v>99.881039989882098</v>
      </c>
    </row>
    <row r="8" spans="1:11" x14ac:dyDescent="0.3">
      <c r="A8" t="s">
        <v>6</v>
      </c>
      <c r="B8" t="s">
        <v>24</v>
      </c>
      <c r="C8">
        <v>81.490243902439033</v>
      </c>
      <c r="D8">
        <v>78893.807819904614</v>
      </c>
      <c r="E8">
        <v>1.44</v>
      </c>
      <c r="F8">
        <v>4.2</v>
      </c>
      <c r="G8">
        <v>5671.9814453099998</v>
      </c>
      <c r="H8" s="2">
        <v>93.85</v>
      </c>
      <c r="I8">
        <v>46.284778594970703</v>
      </c>
      <c r="J8">
        <v>6.230519937776041</v>
      </c>
      <c r="K8">
        <v>99.881061084132398</v>
      </c>
    </row>
    <row r="9" spans="1:11" x14ac:dyDescent="0.3">
      <c r="A9" t="s">
        <v>7</v>
      </c>
      <c r="B9" t="s">
        <v>24</v>
      </c>
      <c r="C9">
        <v>81.741463414634154</v>
      </c>
      <c r="D9">
        <v>81254.170101527154</v>
      </c>
      <c r="E9">
        <v>1.46</v>
      </c>
      <c r="F9">
        <v>4.0999999999999996</v>
      </c>
      <c r="G9">
        <v>6154.703125</v>
      </c>
      <c r="H9" s="2">
        <v>91.79</v>
      </c>
      <c r="I9">
        <v>47.8155517578125</v>
      </c>
      <c r="J9">
        <v>5.9127146354638658</v>
      </c>
      <c r="K9">
        <v>99.881075262175699</v>
      </c>
    </row>
    <row r="10" spans="1:11" x14ac:dyDescent="0.3">
      <c r="A10" t="s">
        <v>8</v>
      </c>
      <c r="B10" t="s">
        <v>24</v>
      </c>
      <c r="C10">
        <v>81.992682926829275</v>
      </c>
      <c r="D10">
        <v>82481.068056093514</v>
      </c>
      <c r="E10">
        <v>1.48</v>
      </c>
      <c r="F10">
        <v>4</v>
      </c>
      <c r="G10">
        <v>7120.6528320300004</v>
      </c>
      <c r="H10" s="2">
        <v>93.38</v>
      </c>
      <c r="I10">
        <v>49.688880920410199</v>
      </c>
      <c r="J10">
        <v>6.0172405338877502</v>
      </c>
      <c r="K10">
        <v>99.881092600148506</v>
      </c>
    </row>
    <row r="11" spans="1:11" x14ac:dyDescent="0.3">
      <c r="A11" t="s">
        <v>9</v>
      </c>
      <c r="B11" t="s">
        <v>24</v>
      </c>
      <c r="C11">
        <v>82.043902439024393</v>
      </c>
      <c r="D11">
        <v>79585.521698995901</v>
      </c>
      <c r="E11">
        <v>1.5</v>
      </c>
      <c r="F11">
        <v>4</v>
      </c>
      <c r="G11">
        <v>7297.3798828099998</v>
      </c>
      <c r="H11" s="2">
        <v>93.38</v>
      </c>
      <c r="I11">
        <v>50.303451538085902</v>
      </c>
      <c r="J11">
        <v>5.7663835897245175</v>
      </c>
      <c r="K11">
        <v>99.881109672037695</v>
      </c>
    </row>
    <row r="12" spans="1:11" x14ac:dyDescent="0.3">
      <c r="A12" t="s">
        <v>10</v>
      </c>
      <c r="B12" t="s">
        <v>24</v>
      </c>
      <c r="C12">
        <v>82.246341463414652</v>
      </c>
      <c r="D12">
        <v>81315.422830704905</v>
      </c>
      <c r="E12">
        <v>1.52</v>
      </c>
      <c r="F12">
        <v>3.9</v>
      </c>
      <c r="G12">
        <v>7695.6879882800004</v>
      </c>
      <c r="H12" s="2">
        <v>92.56</v>
      </c>
      <c r="I12">
        <v>52.804061889648402</v>
      </c>
      <c r="J12">
        <v>5.9214746139539765</v>
      </c>
      <c r="K12">
        <v>99.881128566112196</v>
      </c>
    </row>
    <row r="13" spans="1:11" x14ac:dyDescent="0.3">
      <c r="A13" t="s">
        <v>11</v>
      </c>
      <c r="B13" t="s">
        <v>24</v>
      </c>
      <c r="C13">
        <v>82.695121951219519</v>
      </c>
      <c r="D13">
        <v>81874.336242500824</v>
      </c>
      <c r="E13">
        <v>1.52</v>
      </c>
      <c r="F13">
        <v>3.9</v>
      </c>
      <c r="G13">
        <v>9204.8779296899993</v>
      </c>
      <c r="H13" s="2">
        <v>93.16</v>
      </c>
      <c r="I13">
        <v>53.135280609130902</v>
      </c>
      <c r="J13">
        <v>5.3458635422535616</v>
      </c>
      <c r="K13">
        <v>99.884003589804493</v>
      </c>
    </row>
    <row r="14" spans="1:11" x14ac:dyDescent="0.3">
      <c r="A14" t="s">
        <v>12</v>
      </c>
      <c r="B14" t="s">
        <v>24</v>
      </c>
      <c r="C14">
        <v>82.697560975609761</v>
      </c>
      <c r="D14">
        <v>81964.886493780854</v>
      </c>
      <c r="E14">
        <v>1.52</v>
      </c>
      <c r="F14">
        <v>3.8</v>
      </c>
      <c r="G14">
        <v>8929.3251953100007</v>
      </c>
      <c r="H14" s="2">
        <v>91.72</v>
      </c>
      <c r="I14">
        <v>54.835620880127003</v>
      </c>
      <c r="J14">
        <v>5.453264724746373</v>
      </c>
      <c r="K14">
        <v>99.886872195847701</v>
      </c>
    </row>
    <row r="15" spans="1:11" x14ac:dyDescent="0.3">
      <c r="A15" t="s">
        <v>13</v>
      </c>
      <c r="B15" t="s">
        <v>24</v>
      </c>
      <c r="C15">
        <v>82.79756097560977</v>
      </c>
      <c r="D15">
        <v>82479.921567730402</v>
      </c>
      <c r="E15">
        <v>1.52</v>
      </c>
      <c r="F15">
        <v>3.8</v>
      </c>
      <c r="G15">
        <v>9324.97265625</v>
      </c>
      <c r="H15" s="2">
        <v>93.75</v>
      </c>
      <c r="I15">
        <v>56.181240081787102</v>
      </c>
      <c r="J15">
        <v>5.5155015003685088</v>
      </c>
      <c r="K15">
        <v>99.8897331821113</v>
      </c>
    </row>
    <row r="16" spans="1:11" x14ac:dyDescent="0.3">
      <c r="A16" t="s">
        <v>14</v>
      </c>
      <c r="B16" t="s">
        <v>24</v>
      </c>
      <c r="C16">
        <v>83.197560975609761</v>
      </c>
      <c r="D16">
        <v>83394.371288821116</v>
      </c>
      <c r="E16">
        <v>1.54</v>
      </c>
      <c r="F16">
        <v>3.8</v>
      </c>
      <c r="G16">
        <v>9550.4550781300004</v>
      </c>
      <c r="H16" s="2">
        <v>92.74</v>
      </c>
      <c r="I16">
        <v>58.065059661865199</v>
      </c>
      <c r="J16">
        <v>4.9959034756526997</v>
      </c>
      <c r="K16">
        <v>99.8925889720649</v>
      </c>
    </row>
    <row r="17" spans="1:11" x14ac:dyDescent="0.3">
      <c r="A17" t="s">
        <v>15</v>
      </c>
      <c r="B17" t="s">
        <v>24</v>
      </c>
      <c r="C17">
        <v>82.897560975609764</v>
      </c>
      <c r="D17">
        <v>83806.447600383734</v>
      </c>
      <c r="E17">
        <v>1.54</v>
      </c>
      <c r="F17">
        <v>3.7</v>
      </c>
      <c r="G17">
        <v>9272.515625</v>
      </c>
      <c r="H17" s="2">
        <v>92.44</v>
      </c>
      <c r="I17">
        <v>60.818561553955099</v>
      </c>
      <c r="J17">
        <v>4.8576523025462679</v>
      </c>
      <c r="K17">
        <v>99.895441126538998</v>
      </c>
    </row>
    <row r="18" spans="1:11" x14ac:dyDescent="0.3">
      <c r="A18" t="s">
        <v>16</v>
      </c>
      <c r="B18" t="s">
        <v>24</v>
      </c>
      <c r="C18">
        <v>83.60243902439025</v>
      </c>
      <c r="D18">
        <v>84611.099867272074</v>
      </c>
      <c r="E18">
        <v>1.54</v>
      </c>
      <c r="F18">
        <v>3.7</v>
      </c>
      <c r="G18">
        <v>9276.5029296899993</v>
      </c>
      <c r="H18" s="2">
        <v>93.91</v>
      </c>
      <c r="I18">
        <v>61.1939888000488</v>
      </c>
      <c r="J18">
        <v>4.8713786544864188</v>
      </c>
      <c r="K18">
        <v>99.898295464072703</v>
      </c>
    </row>
    <row r="19" spans="1:11" x14ac:dyDescent="0.3">
      <c r="A19" t="s">
        <v>17</v>
      </c>
      <c r="B19" t="s">
        <v>24</v>
      </c>
      <c r="C19">
        <v>83.551219512195118</v>
      </c>
      <c r="D19">
        <v>84967.588649822355</v>
      </c>
      <c r="E19">
        <v>1.52</v>
      </c>
      <c r="F19">
        <v>3.6</v>
      </c>
      <c r="G19">
        <v>9423.6494140600007</v>
      </c>
      <c r="H19" s="2">
        <v>92.29</v>
      </c>
      <c r="I19">
        <v>62.459720611572301</v>
      </c>
      <c r="J19">
        <v>4.7098501628047851</v>
      </c>
      <c r="K19">
        <v>99.899873720515401</v>
      </c>
    </row>
    <row r="20" spans="1:11" x14ac:dyDescent="0.3">
      <c r="A20" t="s">
        <v>18</v>
      </c>
      <c r="B20" t="s">
        <v>24</v>
      </c>
      <c r="C20">
        <v>83.753658536585377</v>
      </c>
      <c r="D20">
        <v>86756.602232747187</v>
      </c>
      <c r="E20">
        <v>1.52</v>
      </c>
      <c r="F20">
        <v>3.6</v>
      </c>
      <c r="G20">
        <v>9577.3027343800004</v>
      </c>
      <c r="H20" s="2">
        <v>91.65</v>
      </c>
      <c r="I20">
        <v>64.3533935546875</v>
      </c>
      <c r="J20">
        <v>4.52194177603426</v>
      </c>
      <c r="K20">
        <v>99.899874580580601</v>
      </c>
    </row>
    <row r="21" spans="1:11" x14ac:dyDescent="0.3">
      <c r="A21" t="s">
        <v>19</v>
      </c>
      <c r="B21" t="s">
        <v>24</v>
      </c>
      <c r="C21">
        <v>83.904878048780489</v>
      </c>
      <c r="D21">
        <v>87123.660423425652</v>
      </c>
      <c r="E21">
        <v>1.48</v>
      </c>
      <c r="F21">
        <v>3.5</v>
      </c>
      <c r="G21">
        <v>9646.9130859399993</v>
      </c>
      <c r="H21" s="2">
        <v>91.53</v>
      </c>
      <c r="I21">
        <v>66.309341430664105</v>
      </c>
      <c r="J21">
        <v>4.4755623140002427</v>
      </c>
      <c r="K21">
        <v>99.899872396117004</v>
      </c>
    </row>
    <row r="22" spans="1:11" x14ac:dyDescent="0.3">
      <c r="A22" t="s">
        <v>20</v>
      </c>
      <c r="B22" t="s">
        <v>24</v>
      </c>
      <c r="C22">
        <v>83</v>
      </c>
      <c r="D22">
        <v>84637.013293533324</v>
      </c>
      <c r="E22">
        <v>1.46</v>
      </c>
      <c r="F22">
        <v>3.5</v>
      </c>
      <c r="G22">
        <v>10348.346679689999</v>
      </c>
      <c r="H22" s="2">
        <v>93.55</v>
      </c>
      <c r="I22">
        <v>68.067642211914105</v>
      </c>
      <c r="J22">
        <v>4.1544461921146008</v>
      </c>
      <c r="K22">
        <v>99.899871342279695</v>
      </c>
    </row>
    <row r="23" spans="1:11" x14ac:dyDescent="0.3">
      <c r="A23" t="s">
        <v>21</v>
      </c>
      <c r="B23" t="s">
        <v>24</v>
      </c>
      <c r="C23">
        <v>83.751219512195135</v>
      </c>
      <c r="D23">
        <v>88661.202977628069</v>
      </c>
      <c r="E23">
        <v>1.52</v>
      </c>
      <c r="F23">
        <v>3.5</v>
      </c>
      <c r="G23">
        <v>11262.23046875</v>
      </c>
      <c r="H23" s="2">
        <v>91.81</v>
      </c>
      <c r="I23">
        <v>71.893928527832003</v>
      </c>
      <c r="J23">
        <v>4.3171924187660098</v>
      </c>
      <c r="K23">
        <v>99.899873885055797</v>
      </c>
    </row>
    <row r="24" spans="1:11" x14ac:dyDescent="0.3">
      <c r="A24" t="s">
        <v>22</v>
      </c>
      <c r="B24" t="s">
        <v>24</v>
      </c>
      <c r="C24">
        <v>83.604878048780492</v>
      </c>
      <c r="D24">
        <v>90605.019427267951</v>
      </c>
      <c r="E24">
        <v>1.39</v>
      </c>
      <c r="F24">
        <v>3.5</v>
      </c>
      <c r="G24">
        <v>10963.430664060001</v>
      </c>
      <c r="H24" s="2">
        <v>94.65</v>
      </c>
      <c r="I24">
        <v>74.152679443359403</v>
      </c>
      <c r="J24">
        <v>3.9208106378789864</v>
      </c>
      <c r="K24">
        <v>99.899875833806405</v>
      </c>
    </row>
    <row r="25" spans="1:11" x14ac:dyDescent="0.3">
      <c r="A25" t="s">
        <v>23</v>
      </c>
      <c r="B25" t="s">
        <v>24</v>
      </c>
      <c r="C25">
        <v>84.056097560975616</v>
      </c>
      <c r="D25">
        <v>90084.83416613088</v>
      </c>
      <c r="E25">
        <v>1.33</v>
      </c>
      <c r="F25">
        <v>3.5</v>
      </c>
      <c r="G25" s="1">
        <f xml:space="preserve"> AVERAGEA(G22:G24)</f>
        <v>10858.002604166666</v>
      </c>
      <c r="H25" s="2">
        <v>91.1</v>
      </c>
      <c r="I25">
        <v>74.006088256835895</v>
      </c>
      <c r="J25">
        <v>3.8502859949822752</v>
      </c>
      <c r="K25">
        <v>99.899875833806405</v>
      </c>
    </row>
    <row r="26" spans="1:11" x14ac:dyDescent="0.3">
      <c r="A26" t="s">
        <v>0</v>
      </c>
      <c r="B26" t="s">
        <v>33</v>
      </c>
      <c r="C26">
        <v>83.604878048780492</v>
      </c>
      <c r="D26">
        <v>45859.516209704532</v>
      </c>
      <c r="E26">
        <v>1.756</v>
      </c>
      <c r="F26">
        <v>5.0999999999999996</v>
      </c>
      <c r="G26">
        <v>1626.7338867200001</v>
      </c>
      <c r="H26" s="2">
        <v>99.48</v>
      </c>
      <c r="I26">
        <f>AVERAGE(I27:I29)-1</f>
        <v>110.23231499776655</v>
      </c>
      <c r="J26">
        <v>18.59653066966591</v>
      </c>
      <c r="K26">
        <v>99.990755670403104</v>
      </c>
    </row>
    <row r="27" spans="1:11" x14ac:dyDescent="0.3">
      <c r="A27" t="s">
        <v>1</v>
      </c>
      <c r="B27" t="s">
        <v>33</v>
      </c>
      <c r="C27">
        <v>84.056097560975616</v>
      </c>
      <c r="D27">
        <v>46191.314236628947</v>
      </c>
      <c r="E27">
        <v>1.7390000000000001</v>
      </c>
      <c r="F27">
        <v>5</v>
      </c>
      <c r="G27">
        <v>1550.3739013700001</v>
      </c>
      <c r="H27" s="2">
        <v>98.95</v>
      </c>
      <c r="I27">
        <f t="shared" ref="I27:I40" si="0">AVERAGE(I28:I30)-1</f>
        <v>110.7342478044029</v>
      </c>
      <c r="J27">
        <v>18.698505362028701</v>
      </c>
      <c r="K27">
        <v>99.991254026327198</v>
      </c>
    </row>
    <row r="28" spans="1:11" x14ac:dyDescent="0.3">
      <c r="A28" t="s">
        <v>2</v>
      </c>
      <c r="B28" t="s">
        <v>33</v>
      </c>
      <c r="C28">
        <v>79.936585365853674</v>
      </c>
      <c r="D28">
        <v>47486.2783216389</v>
      </c>
      <c r="E28">
        <v>1.756</v>
      </c>
      <c r="F28">
        <v>4.9000000000000004</v>
      </c>
      <c r="G28">
        <v>1752.9389648399999</v>
      </c>
      <c r="H28" s="2">
        <v>100.56</v>
      </c>
      <c r="I28">
        <f t="shared" si="0"/>
        <v>111.23159308929938</v>
      </c>
      <c r="J28">
        <v>18.908280546862539</v>
      </c>
      <c r="K28">
        <v>99.991752382251207</v>
      </c>
    </row>
    <row r="29" spans="1:11" x14ac:dyDescent="0.3">
      <c r="A29" t="s">
        <v>3</v>
      </c>
      <c r="B29" t="s">
        <v>33</v>
      </c>
      <c r="C29">
        <v>80.239024390243912</v>
      </c>
      <c r="D29">
        <v>48394.126947809484</v>
      </c>
      <c r="E29">
        <v>1.748</v>
      </c>
      <c r="F29">
        <v>4.9000000000000004</v>
      </c>
      <c r="G29">
        <v>2227.12768555</v>
      </c>
      <c r="H29" s="2">
        <v>97.95</v>
      </c>
      <c r="I29">
        <f t="shared" si="0"/>
        <v>111.73110409959736</v>
      </c>
      <c r="J29">
        <v>18.666391626235875</v>
      </c>
      <c r="K29">
        <v>99.992250738175201</v>
      </c>
    </row>
    <row r="30" spans="1:11" x14ac:dyDescent="0.3">
      <c r="A30" t="s">
        <v>4</v>
      </c>
      <c r="B30" t="s">
        <v>33</v>
      </c>
      <c r="C30">
        <v>80.490243902439033</v>
      </c>
      <c r="D30">
        <v>49902.018702253583</v>
      </c>
      <c r="E30">
        <v>1.768</v>
      </c>
      <c r="F30">
        <v>4.8</v>
      </c>
      <c r="G30">
        <v>2744.0810546900002</v>
      </c>
      <c r="H30" s="2">
        <v>101.44</v>
      </c>
      <c r="I30">
        <f t="shared" si="0"/>
        <v>112.24004622431194</v>
      </c>
      <c r="J30">
        <v>19.161557563487815</v>
      </c>
      <c r="K30">
        <v>99.992749094099295</v>
      </c>
    </row>
    <row r="31" spans="1:11" x14ac:dyDescent="0.3">
      <c r="A31" t="s">
        <v>5</v>
      </c>
      <c r="B31" t="s">
        <v>33</v>
      </c>
      <c r="C31">
        <v>80.841463414634148</v>
      </c>
      <c r="D31">
        <v>50853.197672752896</v>
      </c>
      <c r="E31">
        <v>1.8069999999999999</v>
      </c>
      <c r="F31">
        <v>4.8</v>
      </c>
      <c r="G31">
        <v>2995.8725585900002</v>
      </c>
      <c r="H31" s="2">
        <v>99.22</v>
      </c>
      <c r="I31">
        <f t="shared" si="0"/>
        <v>112.72362894398884</v>
      </c>
      <c r="J31">
        <v>19.035965188609275</v>
      </c>
      <c r="K31">
        <v>99.993247450023304</v>
      </c>
    </row>
    <row r="32" spans="1:11" x14ac:dyDescent="0.3">
      <c r="A32" t="s">
        <v>6</v>
      </c>
      <c r="B32" t="s">
        <v>33</v>
      </c>
      <c r="C32">
        <v>81.041463414634151</v>
      </c>
      <c r="D32">
        <v>51553.968596699102</v>
      </c>
      <c r="E32">
        <v>1.9079999999999999</v>
      </c>
      <c r="F32">
        <v>4.7</v>
      </c>
      <c r="G32">
        <v>3174.8686523400002</v>
      </c>
      <c r="H32" s="2">
        <v>99.01</v>
      </c>
      <c r="I32">
        <f t="shared" si="0"/>
        <v>113.22963713049133</v>
      </c>
      <c r="J32">
        <v>19.077402016119922</v>
      </c>
      <c r="K32">
        <v>99.993745805947299</v>
      </c>
    </row>
    <row r="33" spans="1:11" x14ac:dyDescent="0.3">
      <c r="A33" t="s">
        <v>7</v>
      </c>
      <c r="B33" t="s">
        <v>33</v>
      </c>
      <c r="C33">
        <v>81.292682926829272</v>
      </c>
      <c r="D33">
        <v>52531.761120108356</v>
      </c>
      <c r="E33">
        <v>1.9590000000000001</v>
      </c>
      <c r="F33">
        <v>4.5</v>
      </c>
      <c r="G33">
        <v>3792.80981445</v>
      </c>
      <c r="H33" s="2">
        <v>100.39</v>
      </c>
      <c r="I33">
        <f t="shared" si="0"/>
        <v>113.76687259845569</v>
      </c>
      <c r="J33">
        <v>19.237208165195238</v>
      </c>
      <c r="K33">
        <v>99.994244161871407</v>
      </c>
    </row>
    <row r="34" spans="1:11" x14ac:dyDescent="0.3">
      <c r="A34" t="s">
        <v>8</v>
      </c>
      <c r="B34" t="s">
        <v>33</v>
      </c>
      <c r="C34">
        <v>81.395121951219522</v>
      </c>
      <c r="D34">
        <v>53336.101215700772</v>
      </c>
      <c r="E34">
        <v>1.984</v>
      </c>
      <c r="F34">
        <v>4.4000000000000004</v>
      </c>
      <c r="G34">
        <v>4083.4294433599998</v>
      </c>
      <c r="H34" s="2">
        <v>102.86</v>
      </c>
      <c r="I34">
        <f t="shared" si="0"/>
        <v>114.17437710301954</v>
      </c>
      <c r="J34">
        <v>19.025898340920993</v>
      </c>
      <c r="K34">
        <v>99.994742517795402</v>
      </c>
    </row>
    <row r="35" spans="1:11" x14ac:dyDescent="0.3">
      <c r="A35" t="s">
        <v>9</v>
      </c>
      <c r="B35" t="s">
        <v>33</v>
      </c>
      <c r="C35">
        <v>81.543902439024407</v>
      </c>
      <c r="D35">
        <v>53237.00776423121</v>
      </c>
      <c r="E35">
        <v>1.9710000000000001</v>
      </c>
      <c r="F35">
        <v>4.2</v>
      </c>
      <c r="G35">
        <v>3989.4411621099998</v>
      </c>
      <c r="H35" s="2">
        <v>101.29</v>
      </c>
      <c r="I35">
        <f t="shared" si="0"/>
        <v>114.74766168999879</v>
      </c>
      <c r="J35">
        <v>18.913238193511578</v>
      </c>
      <c r="K35">
        <v>99.995240873719396</v>
      </c>
    </row>
    <row r="36" spans="1:11" x14ac:dyDescent="0.3">
      <c r="A36" t="s">
        <v>10</v>
      </c>
      <c r="B36" t="s">
        <v>33</v>
      </c>
      <c r="C36">
        <v>81.695121951219534</v>
      </c>
      <c r="D36">
        <v>53578.812504975904</v>
      </c>
      <c r="E36">
        <v>1.9279999999999999</v>
      </c>
      <c r="F36">
        <v>4</v>
      </c>
      <c r="G36">
        <v>4947.9633789099998</v>
      </c>
      <c r="H36" s="2">
        <v>100.71</v>
      </c>
      <c r="I36">
        <f t="shared" si="0"/>
        <v>115.37857900234876</v>
      </c>
      <c r="J36">
        <v>18.84884768572628</v>
      </c>
      <c r="K36">
        <v>99.995739229643405</v>
      </c>
    </row>
    <row r="37" spans="1:11" x14ac:dyDescent="0.3">
      <c r="A37" t="s">
        <v>11</v>
      </c>
      <c r="B37" t="s">
        <v>33</v>
      </c>
      <c r="C37">
        <v>81.895121951219508</v>
      </c>
      <c r="D37">
        <v>54111.357240335987</v>
      </c>
      <c r="E37">
        <v>1.9259999999999999</v>
      </c>
      <c r="F37">
        <v>3.8</v>
      </c>
      <c r="G37">
        <v>5876.8852539099998</v>
      </c>
      <c r="H37" s="2">
        <v>100.68</v>
      </c>
      <c r="I37">
        <f t="shared" si="0"/>
        <v>115.39689061671106</v>
      </c>
      <c r="J37">
        <v>18.478476119810793</v>
      </c>
      <c r="K37">
        <v>99.996237585567499</v>
      </c>
    </row>
    <row r="38" spans="1:11" x14ac:dyDescent="0.3">
      <c r="A38" t="s">
        <v>12</v>
      </c>
      <c r="B38" t="s">
        <v>33</v>
      </c>
      <c r="C38">
        <v>82.046341463414635</v>
      </c>
      <c r="D38">
        <v>55257.573928736187</v>
      </c>
      <c r="E38">
        <v>1.92</v>
      </c>
      <c r="F38">
        <v>3.6</v>
      </c>
      <c r="G38">
        <v>6038.8715820300004</v>
      </c>
      <c r="H38" s="2">
        <v>102.23</v>
      </c>
      <c r="I38">
        <f t="shared" si="0"/>
        <v>116.46751545093655</v>
      </c>
      <c r="J38">
        <v>18.181095578698628</v>
      </c>
      <c r="K38">
        <v>99.996735941491494</v>
      </c>
    </row>
    <row r="39" spans="1:11" x14ac:dyDescent="0.3">
      <c r="A39" t="s">
        <v>13</v>
      </c>
      <c r="B39" t="s">
        <v>33</v>
      </c>
      <c r="C39">
        <v>82.148780487804885</v>
      </c>
      <c r="D39">
        <v>55728.017403571932</v>
      </c>
      <c r="E39">
        <v>1.855</v>
      </c>
      <c r="F39">
        <v>3.5</v>
      </c>
      <c r="G39">
        <v>5811.8686523400002</v>
      </c>
      <c r="H39" s="2">
        <v>100.63</v>
      </c>
      <c r="I39">
        <f t="shared" si="0"/>
        <v>117.27133093939865</v>
      </c>
      <c r="J39">
        <v>17.539347865104006</v>
      </c>
      <c r="K39">
        <v>99.997234297415503</v>
      </c>
    </row>
    <row r="40" spans="1:11" x14ac:dyDescent="0.3">
      <c r="A40" t="s">
        <v>14</v>
      </c>
      <c r="B40" t="s">
        <v>33</v>
      </c>
      <c r="C40">
        <v>82.300000000000011</v>
      </c>
      <c r="D40">
        <v>56327.853306327721</v>
      </c>
      <c r="E40">
        <v>1.8260000000000001</v>
      </c>
      <c r="F40">
        <v>3.4</v>
      </c>
      <c r="G40">
        <v>6098.2543945300004</v>
      </c>
      <c r="H40" s="2">
        <v>101.68</v>
      </c>
      <c r="I40">
        <f t="shared" si="0"/>
        <v>115.45182545979799</v>
      </c>
      <c r="J40">
        <v>16.87948543867898</v>
      </c>
      <c r="K40">
        <v>99.997732653339497</v>
      </c>
    </row>
    <row r="41" spans="1:11" x14ac:dyDescent="0.3">
      <c r="A41" t="s">
        <v>15</v>
      </c>
      <c r="B41" t="s">
        <v>33</v>
      </c>
      <c r="C41">
        <v>82.40000000000002</v>
      </c>
      <c r="D41">
        <v>56739.02653465933</v>
      </c>
      <c r="E41">
        <v>1.8140000000000001</v>
      </c>
      <c r="F41">
        <v>3.3</v>
      </c>
      <c r="G41">
        <v>5294.5722656300004</v>
      </c>
      <c r="H41" s="2">
        <v>104.96</v>
      </c>
      <c r="I41">
        <v>119.679389953613</v>
      </c>
      <c r="J41">
        <v>16.818209778764228</v>
      </c>
      <c r="K41">
        <v>99.998231009263606</v>
      </c>
    </row>
    <row r="42" spans="1:11" x14ac:dyDescent="0.3">
      <c r="A42" t="s">
        <v>16</v>
      </c>
      <c r="B42" t="s">
        <v>33</v>
      </c>
      <c r="C42">
        <v>82.448780487804896</v>
      </c>
      <c r="D42">
        <v>57401.066226893934</v>
      </c>
      <c r="E42">
        <v>1.752</v>
      </c>
      <c r="F42">
        <v>3.2</v>
      </c>
      <c r="G42">
        <v>5423.8266601599998</v>
      </c>
      <c r="H42" s="2">
        <v>104.9</v>
      </c>
      <c r="I42">
        <v>119.682777404785</v>
      </c>
      <c r="J42">
        <v>16.886762451693112</v>
      </c>
      <c r="K42">
        <v>99.9987293651876</v>
      </c>
    </row>
    <row r="43" spans="1:11" x14ac:dyDescent="0.3">
      <c r="A43" t="s">
        <v>17</v>
      </c>
      <c r="B43" t="s">
        <v>33</v>
      </c>
      <c r="C43">
        <v>82.500000000000014</v>
      </c>
      <c r="D43">
        <v>57750.64822216882</v>
      </c>
      <c r="E43">
        <v>1.7410000000000001</v>
      </c>
      <c r="F43">
        <v>3.2</v>
      </c>
      <c r="G43">
        <v>5780.5371093800004</v>
      </c>
      <c r="H43" s="2">
        <v>103.61</v>
      </c>
      <c r="I43">
        <v>109.99330902099599</v>
      </c>
      <c r="J43">
        <v>16.705728571551724</v>
      </c>
      <c r="K43">
        <v>99.999227721111595</v>
      </c>
    </row>
    <row r="44" spans="1:11" x14ac:dyDescent="0.3">
      <c r="A44" t="s">
        <v>18</v>
      </c>
      <c r="B44" t="s">
        <v>33</v>
      </c>
      <c r="C44">
        <v>82.748780487804893</v>
      </c>
      <c r="D44">
        <v>58530.782169711711</v>
      </c>
      <c r="E44">
        <v>1.74</v>
      </c>
      <c r="F44">
        <v>3.2</v>
      </c>
      <c r="G44">
        <v>5830.1015625</v>
      </c>
      <c r="H44" s="2">
        <v>103.51</v>
      </c>
      <c r="I44">
        <v>103.32209014892599</v>
      </c>
      <c r="J44">
        <v>16.392359522943682</v>
      </c>
      <c r="K44">
        <v>99.999726077035703</v>
      </c>
    </row>
    <row r="45" spans="1:11" x14ac:dyDescent="0.3">
      <c r="A45" t="s">
        <v>19</v>
      </c>
      <c r="B45" t="s">
        <v>33</v>
      </c>
      <c r="C45">
        <v>82.9</v>
      </c>
      <c r="D45">
        <v>58924.733646241955</v>
      </c>
      <c r="E45">
        <v>1.657</v>
      </c>
      <c r="F45">
        <v>3.2</v>
      </c>
      <c r="G45">
        <v>5529.1948242199996</v>
      </c>
      <c r="H45" s="2">
        <v>104.34</v>
      </c>
      <c r="I45">
        <v>109.759559631348</v>
      </c>
      <c r="J45">
        <v>16.098804073096854</v>
      </c>
      <c r="K45">
        <v>100</v>
      </c>
    </row>
    <row r="46" spans="1:11" x14ac:dyDescent="0.3">
      <c r="A46" t="s">
        <v>20</v>
      </c>
      <c r="B46" t="s">
        <v>33</v>
      </c>
      <c r="C46">
        <v>83.2</v>
      </c>
      <c r="D46">
        <v>58132.798523626036</v>
      </c>
      <c r="E46">
        <v>1.581</v>
      </c>
      <c r="F46">
        <v>3.2</v>
      </c>
      <c r="G46">
        <v>5952.890625</v>
      </c>
      <c r="H46" s="2">
        <v>107.05</v>
      </c>
      <c r="I46">
        <v>110.13922119140599</v>
      </c>
      <c r="J46">
        <v>15.30333754814176</v>
      </c>
      <c r="K46">
        <v>100</v>
      </c>
    </row>
    <row r="47" spans="1:11" x14ac:dyDescent="0.3">
      <c r="A47" t="s">
        <v>21</v>
      </c>
      <c r="B47" t="s">
        <v>33</v>
      </c>
      <c r="C47">
        <v>83.3</v>
      </c>
      <c r="D47">
        <v>59276.503107196957</v>
      </c>
      <c r="E47">
        <v>1.7</v>
      </c>
      <c r="F47">
        <v>3.2</v>
      </c>
      <c r="G47">
        <v>7039.5776367199996</v>
      </c>
      <c r="H47" s="2">
        <v>105.34</v>
      </c>
      <c r="I47">
        <v>112.68829345703099</v>
      </c>
      <c r="J47">
        <v>14.976485485224066</v>
      </c>
      <c r="K47">
        <v>100</v>
      </c>
    </row>
    <row r="48" spans="1:11" x14ac:dyDescent="0.3">
      <c r="A48" t="s">
        <v>22</v>
      </c>
      <c r="B48" t="s">
        <v>33</v>
      </c>
      <c r="C48">
        <v>83.2</v>
      </c>
      <c r="D48">
        <v>61009.807714740316</v>
      </c>
      <c r="E48">
        <v>1.63</v>
      </c>
      <c r="F48">
        <v>3.2</v>
      </c>
      <c r="G48">
        <v>6730.9951171900002</v>
      </c>
      <c r="H48" s="2">
        <v>106.21</v>
      </c>
      <c r="I48">
        <v>106.240760803223</v>
      </c>
      <c r="J48">
        <v>14.410423242912509</v>
      </c>
      <c r="K48">
        <v>100</v>
      </c>
    </row>
    <row r="49" spans="1:11" x14ac:dyDescent="0.3">
      <c r="A49" t="s">
        <v>23</v>
      </c>
      <c r="B49" t="s">
        <v>33</v>
      </c>
      <c r="C49">
        <v>83.051219512195132</v>
      </c>
      <c r="D49">
        <v>61598.17760899158</v>
      </c>
      <c r="E49">
        <v>1.5</v>
      </c>
      <c r="F49">
        <v>3.1</v>
      </c>
      <c r="G49">
        <f>AVERAGE(G46:G48)</f>
        <v>6574.4877929700006</v>
      </c>
      <c r="H49" s="2">
        <v>105.39</v>
      </c>
      <c r="I49">
        <v>104.64835357666</v>
      </c>
      <c r="J49">
        <v>14.017916406984533</v>
      </c>
      <c r="K49">
        <v>100</v>
      </c>
    </row>
    <row r="50" spans="1:11" x14ac:dyDescent="0.3">
      <c r="A50" t="s">
        <v>0</v>
      </c>
      <c r="B50" t="s">
        <v>34</v>
      </c>
      <c r="C50">
        <v>79.643902439024401</v>
      </c>
      <c r="D50">
        <v>41561.096719935755</v>
      </c>
      <c r="E50">
        <v>1.54</v>
      </c>
      <c r="F50">
        <v>3.4</v>
      </c>
      <c r="G50">
        <v>2173.1940918</v>
      </c>
      <c r="H50">
        <v>151.75637817382801</v>
      </c>
      <c r="I50">
        <v>67.644836425781193</v>
      </c>
      <c r="J50">
        <v>6.5353344960031485</v>
      </c>
      <c r="K50">
        <v>99.207097522505705</v>
      </c>
    </row>
    <row r="51" spans="1:11" x14ac:dyDescent="0.3">
      <c r="A51" t="s">
        <v>1</v>
      </c>
      <c r="B51" t="s">
        <v>34</v>
      </c>
      <c r="C51">
        <v>79.795121951219514</v>
      </c>
      <c r="D51">
        <v>42013.700429017619</v>
      </c>
      <c r="E51">
        <v>1.57</v>
      </c>
      <c r="F51">
        <v>3.3</v>
      </c>
      <c r="G51">
        <v>2155.85424805</v>
      </c>
      <c r="H51">
        <v>147.90344238281199</v>
      </c>
      <c r="I51">
        <v>70.011520385742202</v>
      </c>
      <c r="J51">
        <v>6.526153444934554</v>
      </c>
      <c r="K51">
        <v>99.193166205897001</v>
      </c>
    </row>
    <row r="52" spans="1:11" x14ac:dyDescent="0.3">
      <c r="A52" t="s">
        <v>2</v>
      </c>
      <c r="B52" t="s">
        <v>34</v>
      </c>
      <c r="C52">
        <v>79.846341463414646</v>
      </c>
      <c r="D52">
        <v>42831.018856686482</v>
      </c>
      <c r="E52">
        <v>1.65</v>
      </c>
      <c r="F52">
        <v>3.3</v>
      </c>
      <c r="G52">
        <v>2459.0986328099998</v>
      </c>
      <c r="H52">
        <v>144.218505859375</v>
      </c>
      <c r="I52">
        <v>74.741432189941406</v>
      </c>
      <c r="J52">
        <v>6.6539584836141525</v>
      </c>
      <c r="K52">
        <v>99.177421446522004</v>
      </c>
    </row>
    <row r="53" spans="1:11" x14ac:dyDescent="0.3">
      <c r="A53" t="s">
        <v>3</v>
      </c>
      <c r="B53" t="s">
        <v>34</v>
      </c>
      <c r="C53">
        <v>80.095121951219525</v>
      </c>
      <c r="D53">
        <v>43474.579212195662</v>
      </c>
      <c r="E53">
        <v>1.71</v>
      </c>
      <c r="F53">
        <v>3.2</v>
      </c>
      <c r="G53">
        <v>3110.1997070299999</v>
      </c>
      <c r="H53">
        <v>136.47430419921901</v>
      </c>
      <c r="I53">
        <v>80.490287780761705</v>
      </c>
      <c r="J53">
        <v>6.6593296509834703</v>
      </c>
      <c r="K53">
        <v>99.161638499957903</v>
      </c>
    </row>
    <row r="54" spans="1:11" x14ac:dyDescent="0.3">
      <c r="A54" t="s">
        <v>4</v>
      </c>
      <c r="B54" t="s">
        <v>34</v>
      </c>
      <c r="C54">
        <v>80.497560975609773</v>
      </c>
      <c r="D54">
        <v>45113.830850766346</v>
      </c>
      <c r="E54">
        <v>1.75</v>
      </c>
      <c r="F54">
        <v>3.1</v>
      </c>
      <c r="G54">
        <v>3488.1728515599998</v>
      </c>
      <c r="H54">
        <v>101.425491333008</v>
      </c>
      <c r="I54">
        <v>83.034980773925795</v>
      </c>
      <c r="J54">
        <v>6.4561961258597993</v>
      </c>
      <c r="K54">
        <v>99.145823748748896</v>
      </c>
    </row>
    <row r="55" spans="1:11" x14ac:dyDescent="0.3">
      <c r="A55" t="s">
        <v>5</v>
      </c>
      <c r="B55" t="s">
        <v>34</v>
      </c>
      <c r="C55">
        <v>80.546341463414649</v>
      </c>
      <c r="D55">
        <v>46188.841109646819</v>
      </c>
      <c r="E55">
        <v>1.77</v>
      </c>
      <c r="F55">
        <v>3</v>
      </c>
      <c r="G55">
        <v>3547.6333007799999</v>
      </c>
      <c r="H55">
        <v>101.48216247558599</v>
      </c>
      <c r="I55">
        <v>81.739089965820298</v>
      </c>
      <c r="J55">
        <v>6.0391788226507295</v>
      </c>
      <c r="K55">
        <v>99.129969465871298</v>
      </c>
    </row>
    <row r="56" spans="1:11" x14ac:dyDescent="0.3">
      <c r="A56" t="s">
        <v>6</v>
      </c>
      <c r="B56" t="s">
        <v>34</v>
      </c>
      <c r="C56">
        <v>80.748780487804893</v>
      </c>
      <c r="D56">
        <v>48077.440868765014</v>
      </c>
      <c r="E56">
        <v>1.85</v>
      </c>
      <c r="F56">
        <v>2.8</v>
      </c>
      <c r="G56">
        <v>3765.3969726599998</v>
      </c>
      <c r="H56">
        <v>101.20408630371099</v>
      </c>
      <c r="I56">
        <v>79.335227966308594</v>
      </c>
      <c r="J56">
        <v>6.0675149675045601</v>
      </c>
      <c r="K56">
        <v>99.114127329137304</v>
      </c>
    </row>
    <row r="57" spans="1:11" x14ac:dyDescent="0.3">
      <c r="A57" t="s">
        <v>7</v>
      </c>
      <c r="B57" t="s">
        <v>34</v>
      </c>
      <c r="C57">
        <v>80.90000000000002</v>
      </c>
      <c r="D57">
        <v>49261.23994790743</v>
      </c>
      <c r="E57">
        <v>1.88</v>
      </c>
      <c r="F57">
        <v>2.7</v>
      </c>
      <c r="G57">
        <v>4310.3266601599998</v>
      </c>
      <c r="H57">
        <v>100.99871063232401</v>
      </c>
      <c r="I57">
        <v>75.394371032714801</v>
      </c>
      <c r="J57">
        <v>5.7761662213279008</v>
      </c>
      <c r="K57">
        <v>99.0982564446482</v>
      </c>
    </row>
    <row r="58" spans="1:11" x14ac:dyDescent="0.3">
      <c r="A58" t="s">
        <v>8</v>
      </c>
      <c r="B58" t="s">
        <v>34</v>
      </c>
      <c r="C58">
        <v>81.100000000000009</v>
      </c>
      <c r="D58">
        <v>48427.756379062077</v>
      </c>
      <c r="E58">
        <v>1.91</v>
      </c>
      <c r="F58">
        <v>2.6</v>
      </c>
      <c r="G58">
        <v>4627.5639648400002</v>
      </c>
      <c r="H58">
        <v>101.52108764648401</v>
      </c>
      <c r="I58">
        <v>71.158073425292997</v>
      </c>
      <c r="J58">
        <v>5.6086698424243808</v>
      </c>
      <c r="K58">
        <v>99.082292274631499</v>
      </c>
    </row>
    <row r="59" spans="1:11" x14ac:dyDescent="0.3">
      <c r="A59" t="s">
        <v>9</v>
      </c>
      <c r="B59" t="s">
        <v>34</v>
      </c>
      <c r="C59">
        <v>81.351219512195129</v>
      </c>
      <c r="D59">
        <v>45973.553767771467</v>
      </c>
      <c r="E59">
        <v>1.94</v>
      </c>
      <c r="F59">
        <v>2.6</v>
      </c>
      <c r="G59">
        <v>4136.1733398400002</v>
      </c>
      <c r="H59">
        <v>101.43431091308599</v>
      </c>
      <c r="I59">
        <v>71.011581420898395</v>
      </c>
      <c r="J59">
        <v>5.045816455638346</v>
      </c>
      <c r="K59">
        <v>99.0662426749264</v>
      </c>
    </row>
    <row r="60" spans="1:11" x14ac:dyDescent="0.3">
      <c r="A60" t="s">
        <v>10</v>
      </c>
      <c r="B60" t="s">
        <v>34</v>
      </c>
      <c r="C60">
        <v>81.451219512195138</v>
      </c>
      <c r="D60">
        <v>48204.658076932479</v>
      </c>
      <c r="E60">
        <v>1.98</v>
      </c>
      <c r="F60">
        <v>2.5</v>
      </c>
      <c r="G60">
        <v>4416.1455078099998</v>
      </c>
      <c r="H60">
        <v>102.25106048584</v>
      </c>
      <c r="I60">
        <v>73.081832885742202</v>
      </c>
      <c r="J60">
        <v>5.6387918012617879</v>
      </c>
      <c r="K60">
        <v>99.050097684045298</v>
      </c>
    </row>
    <row r="61" spans="1:11" x14ac:dyDescent="0.3">
      <c r="A61" t="s">
        <v>11</v>
      </c>
      <c r="B61" t="s">
        <v>34</v>
      </c>
      <c r="C61">
        <v>81.802439024390253</v>
      </c>
      <c r="D61">
        <v>49355.689947727915</v>
      </c>
      <c r="E61">
        <v>1.9</v>
      </c>
      <c r="F61">
        <v>2.5</v>
      </c>
      <c r="G61">
        <v>6351.2167968800004</v>
      </c>
      <c r="H61">
        <v>102.14037322998</v>
      </c>
      <c r="I61">
        <v>71.918411254882798</v>
      </c>
      <c r="J61">
        <v>5.1284800120390974</v>
      </c>
      <c r="K61">
        <v>99.033822355541204</v>
      </c>
    </row>
    <row r="62" spans="1:11" x14ac:dyDescent="0.3">
      <c r="A62" t="s">
        <v>12</v>
      </c>
      <c r="B62" t="s">
        <v>34</v>
      </c>
      <c r="C62">
        <v>81.7048780487805</v>
      </c>
      <c r="D62">
        <v>48788.867121068157</v>
      </c>
      <c r="E62">
        <v>1.91</v>
      </c>
      <c r="F62">
        <v>2.4</v>
      </c>
      <c r="G62">
        <v>6254.4428710900002</v>
      </c>
      <c r="H62">
        <v>103.10687255859401</v>
      </c>
      <c r="I62">
        <v>68.742301940917997</v>
      </c>
      <c r="J62">
        <v>4.8035406529883167</v>
      </c>
      <c r="K62">
        <v>99.017349488461804</v>
      </c>
    </row>
    <row r="63" spans="1:11" x14ac:dyDescent="0.3">
      <c r="A63" t="s">
        <v>13</v>
      </c>
      <c r="B63" t="s">
        <v>34</v>
      </c>
      <c r="C63">
        <v>81.956097560975607</v>
      </c>
      <c r="D63">
        <v>48927.5973079916</v>
      </c>
      <c r="E63">
        <v>1.89</v>
      </c>
      <c r="F63">
        <v>2.4</v>
      </c>
      <c r="G63">
        <v>6696.8725585900002</v>
      </c>
      <c r="H63">
        <v>132.71350097656199</v>
      </c>
      <c r="I63">
        <v>65.782089233398395</v>
      </c>
      <c r="J63">
        <v>4.5796316999568454</v>
      </c>
      <c r="K63">
        <v>99.000698296308599</v>
      </c>
    </row>
    <row r="64" spans="1:11" x14ac:dyDescent="0.3">
      <c r="A64" t="s">
        <v>14</v>
      </c>
      <c r="B64" t="s">
        <v>34</v>
      </c>
      <c r="C64">
        <v>82.253658536585377</v>
      </c>
      <c r="D64">
        <v>49556.700495436642</v>
      </c>
      <c r="E64">
        <v>1.88</v>
      </c>
      <c r="F64">
        <v>2.4</v>
      </c>
      <c r="G64">
        <v>6605.9116210900002</v>
      </c>
      <c r="H64">
        <v>133.66024780273401</v>
      </c>
      <c r="I64">
        <v>64.954193115234403</v>
      </c>
      <c r="J64">
        <v>4.411717688846351</v>
      </c>
      <c r="K64">
        <v>98.9838638258218</v>
      </c>
    </row>
    <row r="65" spans="1:11" x14ac:dyDescent="0.3">
      <c r="A65" t="s">
        <v>15</v>
      </c>
      <c r="B65" t="s">
        <v>34</v>
      </c>
      <c r="C65">
        <v>82.2048780487805</v>
      </c>
      <c r="D65">
        <v>51197.952934117508</v>
      </c>
      <c r="E65">
        <v>1.85</v>
      </c>
      <c r="F65">
        <v>2.2999999999999998</v>
      </c>
      <c r="G65">
        <v>5598.6816406300004</v>
      </c>
      <c r="H65">
        <v>137.462966918945</v>
      </c>
      <c r="I65">
        <v>66.428321838378906</v>
      </c>
      <c r="J65">
        <v>4.3777411715626169</v>
      </c>
      <c r="K65">
        <v>98.966866908839705</v>
      </c>
    </row>
    <row r="66" spans="1:11" x14ac:dyDescent="0.3">
      <c r="A66" t="s">
        <v>16</v>
      </c>
      <c r="B66" t="s">
        <v>34</v>
      </c>
      <c r="C66">
        <v>82.307317073170736</v>
      </c>
      <c r="D66">
        <v>51746.696964645686</v>
      </c>
      <c r="E66">
        <v>1.85</v>
      </c>
      <c r="F66">
        <v>2.2999999999999998</v>
      </c>
      <c r="G66">
        <v>5680.7260742199996</v>
      </c>
      <c r="H66">
        <v>137.56115722656199</v>
      </c>
      <c r="I66">
        <v>68.306037902832003</v>
      </c>
      <c r="J66">
        <v>4.2960329373375314</v>
      </c>
      <c r="K66">
        <v>98.949705102932398</v>
      </c>
    </row>
    <row r="67" spans="1:11" x14ac:dyDescent="0.3">
      <c r="A67" t="s">
        <v>17</v>
      </c>
      <c r="B67" t="s">
        <v>34</v>
      </c>
      <c r="C67">
        <v>82.409756097560987</v>
      </c>
      <c r="D67">
        <v>51985.932467200168</v>
      </c>
      <c r="E67">
        <v>1.78</v>
      </c>
      <c r="F67">
        <v>2.2999999999999998</v>
      </c>
      <c r="G67">
        <v>5837.7709960900002</v>
      </c>
      <c r="H67">
        <v>142.64158630371099</v>
      </c>
      <c r="I67">
        <v>70.434249877929702</v>
      </c>
      <c r="J67">
        <v>4.1639349282509786</v>
      </c>
      <c r="K67">
        <v>98.932379673507</v>
      </c>
    </row>
    <row r="68" spans="1:11" x14ac:dyDescent="0.3">
      <c r="A68" t="s">
        <v>18</v>
      </c>
      <c r="B68" t="s">
        <v>34</v>
      </c>
      <c r="C68">
        <v>82.558536585365857</v>
      </c>
      <c r="D68">
        <v>52363.382912956811</v>
      </c>
      <c r="E68">
        <v>1.76</v>
      </c>
      <c r="F68">
        <v>2.2000000000000002</v>
      </c>
      <c r="G68">
        <v>6005.0659179699996</v>
      </c>
      <c r="H68">
        <v>140.82174682617199</v>
      </c>
      <c r="I68">
        <v>73.408378601074205</v>
      </c>
      <c r="J68">
        <v>3.8749357015980204</v>
      </c>
      <c r="K68">
        <v>98.914908083048502</v>
      </c>
    </row>
    <row r="69" spans="1:11" x14ac:dyDescent="0.3">
      <c r="A69" t="s">
        <v>19</v>
      </c>
      <c r="B69" t="s">
        <v>34</v>
      </c>
      <c r="C69">
        <v>83.109756097560989</v>
      </c>
      <c r="D69">
        <v>53156.861313984307</v>
      </c>
      <c r="E69">
        <v>1.71</v>
      </c>
      <c r="F69">
        <v>2.2000000000000002</v>
      </c>
      <c r="G69">
        <v>5652.9897460900002</v>
      </c>
      <c r="H69">
        <v>136.64100646972699</v>
      </c>
      <c r="I69">
        <v>75.114852905273395</v>
      </c>
      <c r="J69">
        <v>3.8077858040466834</v>
      </c>
      <c r="K69">
        <v>98.897290662390603</v>
      </c>
    </row>
    <row r="70" spans="1:11" x14ac:dyDescent="0.3">
      <c r="A70" t="s">
        <v>20</v>
      </c>
      <c r="B70" t="s">
        <v>34</v>
      </c>
      <c r="C70">
        <v>82.356097560975613</v>
      </c>
      <c r="D70">
        <v>51715.781035967404</v>
      </c>
      <c r="E70">
        <v>1.67</v>
      </c>
      <c r="F70">
        <v>2.1</v>
      </c>
      <c r="G70">
        <v>6003.09375</v>
      </c>
      <c r="H70">
        <v>136.42613220214801</v>
      </c>
      <c r="I70">
        <v>79.119636535644503</v>
      </c>
      <c r="J70">
        <v>3.6503802310381412</v>
      </c>
      <c r="K70">
        <v>98.879543605955604</v>
      </c>
    </row>
    <row r="71" spans="1:11" x14ac:dyDescent="0.3">
      <c r="A71" t="s">
        <v>21</v>
      </c>
      <c r="B71" t="s">
        <v>34</v>
      </c>
      <c r="C71">
        <v>83.056097560975616</v>
      </c>
      <c r="D71">
        <v>54458.353562992706</v>
      </c>
      <c r="E71">
        <v>1.67</v>
      </c>
      <c r="F71">
        <v>2.1</v>
      </c>
      <c r="G71">
        <v>6842.4604492199996</v>
      </c>
      <c r="H71">
        <v>138.68818664550801</v>
      </c>
      <c r="I71">
        <v>85.942619323730497</v>
      </c>
      <c r="J71">
        <v>3.8288713188056125</v>
      </c>
      <c r="K71">
        <v>98.861665174328394</v>
      </c>
    </row>
    <row r="72" spans="1:11" x14ac:dyDescent="0.3">
      <c r="A72" t="s">
        <v>22</v>
      </c>
      <c r="B72" t="s">
        <v>34</v>
      </c>
      <c r="C72">
        <v>83.058536585365871</v>
      </c>
      <c r="D72">
        <v>54878.291949917118</v>
      </c>
      <c r="E72">
        <v>1.53</v>
      </c>
      <c r="F72">
        <v>2</v>
      </c>
      <c r="G72">
        <v>5943.3613281300004</v>
      </c>
      <c r="H72">
        <v>139.40652465820301</v>
      </c>
      <c r="I72">
        <v>83.897613525390597</v>
      </c>
      <c r="J72">
        <v>3.4527323077339709</v>
      </c>
      <c r="K72">
        <v>98.860814611476897</v>
      </c>
    </row>
    <row r="73" spans="1:11" x14ac:dyDescent="0.3">
      <c r="A73" t="s">
        <v>23</v>
      </c>
      <c r="B73" t="s">
        <v>34</v>
      </c>
      <c r="C73">
        <v>83.309756097560992</v>
      </c>
      <c r="D73">
        <v>54557.129996126001</v>
      </c>
      <c r="E73">
        <v>1.45</v>
      </c>
      <c r="F73">
        <v>2</v>
      </c>
      <c r="G73">
        <v>6152.3330078099998</v>
      </c>
      <c r="H73">
        <v>134.24429321289099</v>
      </c>
      <c r="I73">
        <v>81.399818420410199</v>
      </c>
      <c r="J73">
        <v>3.3589670779049703</v>
      </c>
      <c r="K73">
        <v>98.860814611476897</v>
      </c>
    </row>
    <row r="74" spans="1:11" x14ac:dyDescent="0.3">
      <c r="A74" t="s">
        <v>0</v>
      </c>
      <c r="B74" t="s">
        <v>35</v>
      </c>
      <c r="C74">
        <v>79.158536585365866</v>
      </c>
      <c r="D74">
        <v>33255.137964233465</v>
      </c>
      <c r="E74">
        <v>1.89</v>
      </c>
      <c r="F74">
        <v>4.0999999999999996</v>
      </c>
      <c r="G74">
        <v>2161.8530273400002</v>
      </c>
      <c r="H74">
        <v>105.5902176</v>
      </c>
      <c r="I74">
        <v>50.603080749511697</v>
      </c>
      <c r="J74">
        <v>6.5860147517030949</v>
      </c>
      <c r="K74">
        <v>98.663026759017299</v>
      </c>
    </row>
    <row r="75" spans="1:11" x14ac:dyDescent="0.3">
      <c r="A75" t="s">
        <v>1</v>
      </c>
      <c r="B75" t="s">
        <v>35</v>
      </c>
      <c r="C75">
        <v>79.260975609756116</v>
      </c>
      <c r="D75">
        <v>33640.673800256496</v>
      </c>
      <c r="E75">
        <v>1.9</v>
      </c>
      <c r="F75">
        <v>3.9</v>
      </c>
      <c r="G75">
        <v>2192.7155761700001</v>
      </c>
      <c r="H75">
        <v>104.5711136</v>
      </c>
      <c r="I75">
        <v>50.447288513183601</v>
      </c>
      <c r="J75">
        <v>6.6055180516213827</v>
      </c>
      <c r="K75">
        <v>98.662257190792204</v>
      </c>
    </row>
    <row r="76" spans="1:11" x14ac:dyDescent="0.3">
      <c r="A76" t="s">
        <v>2</v>
      </c>
      <c r="B76" t="s">
        <v>35</v>
      </c>
      <c r="C76">
        <v>79.114634146341473</v>
      </c>
      <c r="D76">
        <v>33753.578297975837</v>
      </c>
      <c r="E76">
        <v>1.88</v>
      </c>
      <c r="F76">
        <v>3.8</v>
      </c>
      <c r="G76">
        <v>2449.7583007799999</v>
      </c>
      <c r="H76">
        <v>103.1863403</v>
      </c>
      <c r="I76">
        <v>50.2516899108887</v>
      </c>
      <c r="J76">
        <v>6.4697741747891531</v>
      </c>
      <c r="K76">
        <v>98.661487402886607</v>
      </c>
    </row>
    <row r="77" spans="1:11" x14ac:dyDescent="0.3">
      <c r="A77" t="s">
        <v>3</v>
      </c>
      <c r="B77" t="s">
        <v>35</v>
      </c>
      <c r="C77">
        <v>80.163414634146349</v>
      </c>
      <c r="D77">
        <v>33840.617572010065</v>
      </c>
      <c r="E77">
        <v>1.89</v>
      </c>
      <c r="F77">
        <v>3.6</v>
      </c>
      <c r="G77">
        <v>3006.3059082</v>
      </c>
      <c r="H77">
        <v>102.77210239999999</v>
      </c>
      <c r="I77">
        <v>52.316978454589801</v>
      </c>
      <c r="J77">
        <v>6.5035107310691727</v>
      </c>
      <c r="K77">
        <v>98.660728642097794</v>
      </c>
    </row>
    <row r="78" spans="1:11" x14ac:dyDescent="0.3">
      <c r="A78" t="s">
        <v>4</v>
      </c>
      <c r="B78" t="s">
        <v>35</v>
      </c>
      <c r="C78">
        <v>80.163414634146349</v>
      </c>
      <c r="D78">
        <v>34557.147111158134</v>
      </c>
      <c r="E78">
        <v>1.92</v>
      </c>
      <c r="F78">
        <v>3.5</v>
      </c>
      <c r="G78">
        <v>3458.6274414099998</v>
      </c>
      <c r="H78">
        <v>102.2200165</v>
      </c>
      <c r="I78">
        <v>53.457630157470703</v>
      </c>
      <c r="J78">
        <v>6.4731799284003717</v>
      </c>
      <c r="K78">
        <v>98.659973178818603</v>
      </c>
    </row>
    <row r="79" spans="1:11" x14ac:dyDescent="0.3">
      <c r="A79" t="s">
        <v>5</v>
      </c>
      <c r="B79" t="s">
        <v>35</v>
      </c>
      <c r="C79">
        <v>80.812195121951234</v>
      </c>
      <c r="D79">
        <v>34946.03724947029</v>
      </c>
      <c r="E79">
        <v>1.94</v>
      </c>
      <c r="F79">
        <v>3.4</v>
      </c>
      <c r="G79">
        <v>3575.0251464799999</v>
      </c>
      <c r="H79">
        <v>106.7816772</v>
      </c>
      <c r="I79">
        <v>53.882331848144503</v>
      </c>
      <c r="J79">
        <v>6.4602735505917659</v>
      </c>
      <c r="K79">
        <v>98.659226324765399</v>
      </c>
    </row>
    <row r="80" spans="1:11" x14ac:dyDescent="0.3">
      <c r="A80" t="s">
        <v>6</v>
      </c>
      <c r="B80" t="s">
        <v>35</v>
      </c>
      <c r="C80">
        <v>81.112195121951231</v>
      </c>
      <c r="D80">
        <v>35645.416242711617</v>
      </c>
      <c r="E80">
        <v>2</v>
      </c>
      <c r="F80">
        <v>3.3</v>
      </c>
      <c r="G80">
        <v>3811.5517578099998</v>
      </c>
      <c r="H80">
        <v>106.9275208</v>
      </c>
      <c r="I80">
        <v>53.875419616699197</v>
      </c>
      <c r="J80">
        <v>6.2466405276310013</v>
      </c>
      <c r="K80">
        <v>98.658480570517995</v>
      </c>
    </row>
    <row r="81" spans="1:11" x14ac:dyDescent="0.3">
      <c r="A81" t="s">
        <v>7</v>
      </c>
      <c r="B81" t="s">
        <v>35</v>
      </c>
      <c r="C81">
        <v>81.214634146341481</v>
      </c>
      <c r="D81">
        <v>36322.168514100369</v>
      </c>
      <c r="E81">
        <v>1.98</v>
      </c>
      <c r="F81">
        <v>3.2</v>
      </c>
      <c r="G81">
        <v>4312.3105468800004</v>
      </c>
      <c r="H81">
        <v>106.69352720000001</v>
      </c>
      <c r="I81">
        <v>52.947540283203097</v>
      </c>
      <c r="J81">
        <v>6.096412993508431</v>
      </c>
      <c r="K81">
        <v>98.657742717242797</v>
      </c>
    </row>
    <row r="82" spans="1:11" x14ac:dyDescent="0.3">
      <c r="A82" t="s">
        <v>8</v>
      </c>
      <c r="B82" t="s">
        <v>35</v>
      </c>
      <c r="C82">
        <v>81.41463414634147</v>
      </c>
      <c r="D82">
        <v>36257.365893093775</v>
      </c>
      <c r="E82">
        <v>2.0099999999999998</v>
      </c>
      <c r="F82">
        <v>3.2</v>
      </c>
      <c r="G82">
        <v>4807.3745117199996</v>
      </c>
      <c r="H82">
        <v>106.43283839999999</v>
      </c>
      <c r="I82">
        <v>52.475521087646499</v>
      </c>
      <c r="J82">
        <v>5.9495675316530692</v>
      </c>
      <c r="K82">
        <v>98.656996178351704</v>
      </c>
    </row>
    <row r="83" spans="1:11" x14ac:dyDescent="0.3">
      <c r="A83" t="s">
        <v>9</v>
      </c>
      <c r="B83" t="s">
        <v>35</v>
      </c>
      <c r="C83">
        <v>81.663414634146349</v>
      </c>
      <c r="D83">
        <v>35052.851077268315</v>
      </c>
      <c r="E83">
        <v>2</v>
      </c>
      <c r="F83">
        <v>3.1</v>
      </c>
      <c r="G83">
        <v>4737.578125</v>
      </c>
      <c r="H83">
        <v>106.2392273</v>
      </c>
      <c r="I83">
        <v>52.773101806640597</v>
      </c>
      <c r="J83">
        <v>5.7239422056872371</v>
      </c>
      <c r="K83">
        <v>98.656244083505797</v>
      </c>
    </row>
    <row r="84" spans="1:11" x14ac:dyDescent="0.3">
      <c r="A84" t="s">
        <v>10</v>
      </c>
      <c r="B84" t="s">
        <v>35</v>
      </c>
      <c r="C84">
        <v>82.114634146341473</v>
      </c>
      <c r="D84">
        <v>35578.196801018275</v>
      </c>
      <c r="E84">
        <v>2.0299999999999998</v>
      </c>
      <c r="F84">
        <v>3.1</v>
      </c>
      <c r="G84">
        <v>4592.3833007800004</v>
      </c>
      <c r="H84">
        <v>106.424942</v>
      </c>
      <c r="I84">
        <v>54.881721496582003</v>
      </c>
      <c r="J84">
        <v>5.8093466340826776</v>
      </c>
      <c r="K84">
        <v>98.655478897347805</v>
      </c>
    </row>
    <row r="85" spans="1:11" x14ac:dyDescent="0.3">
      <c r="A85" t="s">
        <v>11</v>
      </c>
      <c r="B85" t="s">
        <v>35</v>
      </c>
      <c r="C85">
        <v>81.968292682926844</v>
      </c>
      <c r="D85">
        <v>36269.95615308881</v>
      </c>
      <c r="E85">
        <v>2.0099999999999998</v>
      </c>
      <c r="F85">
        <v>3.1</v>
      </c>
      <c r="G85">
        <v>4931.8779296900002</v>
      </c>
      <c r="H85">
        <v>106.6106415</v>
      </c>
      <c r="I85">
        <v>55.625728607177699</v>
      </c>
      <c r="J85">
        <v>5.5755933923704362</v>
      </c>
      <c r="K85">
        <v>98.654716351323302</v>
      </c>
    </row>
    <row r="86" spans="1:11" x14ac:dyDescent="0.3">
      <c r="A86" t="s">
        <v>12</v>
      </c>
      <c r="B86" t="s">
        <v>35</v>
      </c>
      <c r="C86">
        <v>82.219512195121965</v>
      </c>
      <c r="D86">
        <v>36161.291825346532</v>
      </c>
      <c r="E86">
        <v>2.0099999999999998</v>
      </c>
      <c r="F86">
        <v>3.1</v>
      </c>
      <c r="G86">
        <v>4644.5957031300004</v>
      </c>
      <c r="H86">
        <v>105.8135834</v>
      </c>
      <c r="I86">
        <v>57.909011840820298</v>
      </c>
      <c r="J86">
        <v>5.5764827070669698</v>
      </c>
      <c r="K86">
        <v>98.653942111776004</v>
      </c>
    </row>
    <row r="87" spans="1:11" x14ac:dyDescent="0.3">
      <c r="A87" t="s">
        <v>13</v>
      </c>
      <c r="B87" t="s">
        <v>35</v>
      </c>
      <c r="C87">
        <v>82.719512195121951</v>
      </c>
      <c r="D87">
        <v>36256.086680981032</v>
      </c>
      <c r="E87">
        <v>1.99</v>
      </c>
      <c r="F87">
        <v>3.1</v>
      </c>
      <c r="G87">
        <v>4884.7158203099998</v>
      </c>
      <c r="H87">
        <v>104.37660219999999</v>
      </c>
      <c r="I87">
        <v>59.848758697509801</v>
      </c>
      <c r="J87">
        <v>5.4697532037822034</v>
      </c>
      <c r="K87">
        <v>98.653169721472906</v>
      </c>
    </row>
    <row r="88" spans="1:11" x14ac:dyDescent="0.3">
      <c r="A88" t="s">
        <v>14</v>
      </c>
      <c r="B88" t="s">
        <v>35</v>
      </c>
      <c r="C88">
        <v>82.321951219512201</v>
      </c>
      <c r="D88">
        <v>36444.394908914612</v>
      </c>
      <c r="E88">
        <v>2</v>
      </c>
      <c r="F88">
        <v>3.1</v>
      </c>
      <c r="G88">
        <v>4974.7465820300004</v>
      </c>
      <c r="H88">
        <v>103.425827</v>
      </c>
      <c r="I88">
        <v>61.5104789733887</v>
      </c>
      <c r="J88">
        <v>4.9476349455371373</v>
      </c>
      <c r="K88">
        <v>98.652381989269301</v>
      </c>
    </row>
    <row r="89" spans="1:11" x14ac:dyDescent="0.3">
      <c r="A89" t="s">
        <v>15</v>
      </c>
      <c r="B89" t="s">
        <v>35</v>
      </c>
      <c r="C89">
        <v>82.573170731707322</v>
      </c>
      <c r="D89">
        <v>36702.432373337935</v>
      </c>
      <c r="E89">
        <v>1.96</v>
      </c>
      <c r="F89">
        <v>3.2</v>
      </c>
      <c r="G89">
        <v>4198.7290039099998</v>
      </c>
      <c r="H89">
        <v>103.3960419</v>
      </c>
      <c r="I89">
        <v>62.785930633544901</v>
      </c>
      <c r="J89">
        <v>5.0035093322934063</v>
      </c>
      <c r="K89">
        <v>98.651598508227195</v>
      </c>
    </row>
    <row r="90" spans="1:11" x14ac:dyDescent="0.3">
      <c r="A90" t="s">
        <v>16</v>
      </c>
      <c r="B90" t="s">
        <v>35</v>
      </c>
      <c r="C90">
        <v>82.575609756097563</v>
      </c>
      <c r="D90">
        <v>36920.534284691392</v>
      </c>
      <c r="E90">
        <v>1.92</v>
      </c>
      <c r="F90">
        <v>3.2</v>
      </c>
      <c r="G90">
        <v>4264.1459960900002</v>
      </c>
      <c r="H90">
        <v>103.3080978</v>
      </c>
      <c r="I90">
        <v>64.727676391601605</v>
      </c>
      <c r="J90">
        <v>5.0321814737294943</v>
      </c>
      <c r="K90">
        <v>98.650802134634105</v>
      </c>
    </row>
    <row r="91" spans="1:11" x14ac:dyDescent="0.3">
      <c r="A91" t="s">
        <v>17</v>
      </c>
      <c r="B91" t="s">
        <v>35</v>
      </c>
      <c r="C91">
        <v>82.675609756097572</v>
      </c>
      <c r="D91">
        <v>37580.597932935612</v>
      </c>
      <c r="E91">
        <v>1.89</v>
      </c>
      <c r="F91">
        <v>3.3</v>
      </c>
      <c r="G91">
        <v>4416.7919921900002</v>
      </c>
      <c r="H91">
        <v>103.7560806</v>
      </c>
      <c r="I91">
        <v>65.802230834960895</v>
      </c>
      <c r="J91">
        <v>5.0710675540011501</v>
      </c>
      <c r="K91">
        <v>98.650012974410004</v>
      </c>
    </row>
    <row r="92" spans="1:11" x14ac:dyDescent="0.3">
      <c r="A92" t="s">
        <v>18</v>
      </c>
      <c r="B92" t="s">
        <v>35</v>
      </c>
      <c r="C92">
        <v>82.826829268292698</v>
      </c>
      <c r="D92">
        <v>38062.443596141224</v>
      </c>
      <c r="E92">
        <v>1.87</v>
      </c>
      <c r="F92">
        <v>3.3</v>
      </c>
      <c r="G92">
        <v>4667.9575195300004</v>
      </c>
      <c r="H92">
        <v>103.7733307</v>
      </c>
      <c r="I92">
        <v>67.543518066406193</v>
      </c>
      <c r="J92">
        <v>4.8933633686165114</v>
      </c>
      <c r="K92">
        <v>98.649211894889604</v>
      </c>
    </row>
    <row r="93" spans="1:11" x14ac:dyDescent="0.3">
      <c r="A93" t="s">
        <v>19</v>
      </c>
      <c r="B93" t="s">
        <v>35</v>
      </c>
      <c r="C93">
        <v>82.175609756097572</v>
      </c>
      <c r="D93">
        <v>38705.207294061838</v>
      </c>
      <c r="E93">
        <v>1.86</v>
      </c>
      <c r="F93">
        <v>3.3</v>
      </c>
      <c r="G93">
        <v>4508.7607421900002</v>
      </c>
      <c r="H93">
        <v>104.07689670000001</v>
      </c>
      <c r="I93">
        <v>67.733131408691406</v>
      </c>
      <c r="J93">
        <v>4.7898846549083736</v>
      </c>
      <c r="K93">
        <v>98.648414554485797</v>
      </c>
    </row>
    <row r="94" spans="1:11" x14ac:dyDescent="0.3">
      <c r="A94" t="s">
        <v>20</v>
      </c>
      <c r="B94" t="s">
        <v>35</v>
      </c>
      <c r="C94">
        <v>82.324390243902442</v>
      </c>
      <c r="D94">
        <v>35709.20459259257</v>
      </c>
      <c r="E94">
        <v>1.83</v>
      </c>
      <c r="F94">
        <v>3.3</v>
      </c>
      <c r="G94">
        <v>4747.5136718800004</v>
      </c>
      <c r="H94">
        <v>104.56656649999999</v>
      </c>
      <c r="I94">
        <v>68.870941162109403</v>
      </c>
      <c r="J94">
        <v>4.2502896771961289</v>
      </c>
      <c r="K94">
        <v>98.6476063538978</v>
      </c>
    </row>
    <row r="95" spans="1:11" x14ac:dyDescent="0.3">
      <c r="A95" t="s">
        <v>21</v>
      </c>
      <c r="B95" t="s">
        <v>35</v>
      </c>
      <c r="C95">
        <v>82.129268292682937</v>
      </c>
      <c r="D95">
        <v>38030.857168517781</v>
      </c>
      <c r="E95">
        <v>1.84</v>
      </c>
      <c r="F95">
        <v>3.4</v>
      </c>
      <c r="G95">
        <v>5376.7456054699996</v>
      </c>
      <c r="H95">
        <v>104.5228424</v>
      </c>
      <c r="I95">
        <v>69.939788818359403</v>
      </c>
      <c r="J95">
        <v>4.7083072663365906</v>
      </c>
      <c r="K95">
        <v>98.646802121483702</v>
      </c>
    </row>
    <row r="96" spans="1:11" x14ac:dyDescent="0.3">
      <c r="A96" t="s">
        <v>22</v>
      </c>
      <c r="B96" t="s">
        <v>35</v>
      </c>
      <c r="C96">
        <v>82.929268292682934</v>
      </c>
      <c r="D96">
        <v>38881.223061359524</v>
      </c>
      <c r="E96">
        <v>1.79</v>
      </c>
      <c r="F96">
        <v>3.4</v>
      </c>
      <c r="G96">
        <v>4865.1782226599998</v>
      </c>
      <c r="H96">
        <v>104.31643680000001</v>
      </c>
      <c r="I96">
        <v>71.510726928710895</v>
      </c>
      <c r="J96">
        <v>4.561196379667293</v>
      </c>
      <c r="K96">
        <v>98.645996345359094</v>
      </c>
    </row>
    <row r="97" spans="1:11" x14ac:dyDescent="0.3">
      <c r="A97" t="s">
        <v>23</v>
      </c>
      <c r="B97" t="s">
        <v>35</v>
      </c>
      <c r="C97">
        <f>AVERAGE(C94:C96)</f>
        <v>82.460975609756105</v>
      </c>
      <c r="D97">
        <v>39117.484503223321</v>
      </c>
      <c r="E97">
        <v>1.66</v>
      </c>
      <c r="F97">
        <v>3.4</v>
      </c>
      <c r="G97">
        <f>AVERAGE(G94:G96)</f>
        <v>4996.4791666700003</v>
      </c>
      <c r="H97">
        <v>103.96241759999999</v>
      </c>
      <c r="I97">
        <v>70.453643798828097</v>
      </c>
      <c r="J97">
        <v>4.1358602052525377</v>
      </c>
      <c r="K97">
        <v>87.574546720600793</v>
      </c>
    </row>
    <row r="98" spans="1:11" x14ac:dyDescent="0.3">
      <c r="A98" t="s">
        <v>0</v>
      </c>
      <c r="B98" t="s">
        <v>36</v>
      </c>
      <c r="C98">
        <v>73.748780487804879</v>
      </c>
      <c r="D98">
        <v>7401.5769764784773</v>
      </c>
      <c r="E98">
        <v>1.37</v>
      </c>
      <c r="F98">
        <v>8.1</v>
      </c>
      <c r="G98">
        <v>238.00448607999999</v>
      </c>
      <c r="H98">
        <v>100.59607699999999</v>
      </c>
      <c r="I98">
        <v>50.403629302978501</v>
      </c>
      <c r="J98">
        <v>8.1816235495527039</v>
      </c>
      <c r="K98">
        <v>88.256834236053294</v>
      </c>
    </row>
    <row r="99" spans="1:11" x14ac:dyDescent="0.3">
      <c r="A99" t="s">
        <v>1</v>
      </c>
      <c r="B99" t="s">
        <v>36</v>
      </c>
      <c r="C99">
        <v>74.200000000000017</v>
      </c>
      <c r="D99">
        <v>7494.9608950324618</v>
      </c>
      <c r="E99">
        <v>1.31</v>
      </c>
      <c r="F99">
        <v>7.6</v>
      </c>
      <c r="G99">
        <v>282.82101440000002</v>
      </c>
      <c r="H99">
        <v>101.69396209999999</v>
      </c>
      <c r="I99">
        <v>56.345691680908203</v>
      </c>
      <c r="J99">
        <v>8.0984413438207969</v>
      </c>
      <c r="K99">
        <v>88.935357688469907</v>
      </c>
    </row>
    <row r="100" spans="1:11" x14ac:dyDescent="0.3">
      <c r="A100" t="s">
        <v>2</v>
      </c>
      <c r="B100" t="s">
        <v>36</v>
      </c>
      <c r="C100">
        <v>74.497560975609773</v>
      </c>
      <c r="D100">
        <v>7640.9930775777684</v>
      </c>
      <c r="E100">
        <v>1.25</v>
      </c>
      <c r="F100">
        <v>7.3</v>
      </c>
      <c r="G100">
        <v>315.83145142000001</v>
      </c>
      <c r="H100">
        <v>103.719223</v>
      </c>
      <c r="I100">
        <v>59.536140441894503</v>
      </c>
      <c r="J100">
        <v>7.9126424221333593</v>
      </c>
      <c r="K100">
        <v>89.594681056405705</v>
      </c>
    </row>
    <row r="101" spans="1:11" x14ac:dyDescent="0.3">
      <c r="A101" t="s">
        <v>3</v>
      </c>
      <c r="B101" t="s">
        <v>36</v>
      </c>
      <c r="C101">
        <v>74.597560975609767</v>
      </c>
      <c r="D101">
        <v>7915.5542438970369</v>
      </c>
      <c r="E101">
        <v>1.22</v>
      </c>
      <c r="F101">
        <v>7</v>
      </c>
      <c r="G101">
        <v>339.33520507999998</v>
      </c>
      <c r="H101">
        <v>106.2503586</v>
      </c>
      <c r="I101">
        <v>60.621471405029297</v>
      </c>
      <c r="J101">
        <v>8.2527640017935031</v>
      </c>
      <c r="K101">
        <v>90.256261208972404</v>
      </c>
    </row>
    <row r="102" spans="1:11" x14ac:dyDescent="0.3">
      <c r="A102" t="s">
        <v>4</v>
      </c>
      <c r="B102" t="s">
        <v>36</v>
      </c>
      <c r="C102">
        <v>74.846341463414646</v>
      </c>
      <c r="D102">
        <v>8323.3877375458706</v>
      </c>
      <c r="E102">
        <v>1.23</v>
      </c>
      <c r="F102">
        <v>6.7</v>
      </c>
      <c r="G102">
        <v>392.00338744999999</v>
      </c>
      <c r="H102">
        <v>98.487983700000001</v>
      </c>
      <c r="I102">
        <v>61.743698120117202</v>
      </c>
      <c r="J102">
        <v>8.3147492044857945</v>
      </c>
      <c r="K102">
        <v>90.920247389664794</v>
      </c>
    </row>
    <row r="103" spans="1:11" x14ac:dyDescent="0.3">
      <c r="A103" t="s">
        <v>5</v>
      </c>
      <c r="B103" t="s">
        <v>36</v>
      </c>
      <c r="C103">
        <v>74.995121951219517</v>
      </c>
      <c r="D103">
        <v>8598.5768124155693</v>
      </c>
      <c r="E103">
        <v>1.24</v>
      </c>
      <c r="F103">
        <v>6.5</v>
      </c>
      <c r="G103">
        <v>465.70019531000003</v>
      </c>
      <c r="H103">
        <v>101.0859528</v>
      </c>
      <c r="I103">
        <v>63.779140472412102</v>
      </c>
      <c r="J103">
        <v>8.307991692485178</v>
      </c>
      <c r="K103">
        <v>91.586744297678294</v>
      </c>
    </row>
    <row r="104" spans="1:11" x14ac:dyDescent="0.3">
      <c r="A104" t="s">
        <v>6</v>
      </c>
      <c r="B104" t="s">
        <v>36</v>
      </c>
      <c r="C104">
        <v>75.143902439024401</v>
      </c>
      <c r="D104">
        <v>9137.6585084980052</v>
      </c>
      <c r="E104">
        <v>1.27</v>
      </c>
      <c r="F104">
        <v>6.3</v>
      </c>
      <c r="G104">
        <v>524.09747314000003</v>
      </c>
      <c r="H104">
        <v>100.5975571</v>
      </c>
      <c r="I104">
        <v>65.090072631835895</v>
      </c>
      <c r="J104">
        <v>8.6711828424577497</v>
      </c>
      <c r="K104">
        <v>92.255533373293304</v>
      </c>
    </row>
    <row r="105" spans="1:11" x14ac:dyDescent="0.3">
      <c r="A105" t="s">
        <v>7</v>
      </c>
      <c r="B105" t="s">
        <v>36</v>
      </c>
      <c r="C105">
        <v>75.243902439024396</v>
      </c>
      <c r="D105">
        <v>9760.7042604351973</v>
      </c>
      <c r="E105">
        <v>1.31</v>
      </c>
      <c r="F105">
        <v>6</v>
      </c>
      <c r="G105">
        <v>660.92468262</v>
      </c>
      <c r="H105">
        <v>100.348259</v>
      </c>
      <c r="I105">
        <v>66.942466735839801</v>
      </c>
      <c r="J105">
        <v>8.6640673694195467</v>
      </c>
      <c r="K105">
        <v>92.926651954254197</v>
      </c>
    </row>
    <row r="106" spans="1:11" x14ac:dyDescent="0.3">
      <c r="A106" t="s">
        <v>8</v>
      </c>
      <c r="B106" t="s">
        <v>36</v>
      </c>
      <c r="C106">
        <v>75.543902439024407</v>
      </c>
      <c r="D106">
        <v>10187.201791088335</v>
      </c>
      <c r="E106">
        <v>1.39</v>
      </c>
      <c r="F106">
        <v>5.7</v>
      </c>
      <c r="G106">
        <v>892.59698486000002</v>
      </c>
      <c r="H106">
        <v>99.950820919999998</v>
      </c>
      <c r="I106">
        <v>70.294631958007798</v>
      </c>
      <c r="J106">
        <v>8.5127800340971564</v>
      </c>
      <c r="K106">
        <v>93.600262618842393</v>
      </c>
    </row>
    <row r="107" spans="1:11" x14ac:dyDescent="0.3">
      <c r="A107" t="s">
        <v>9</v>
      </c>
      <c r="B107" t="s">
        <v>36</v>
      </c>
      <c r="C107">
        <v>75.695121951219519</v>
      </c>
      <c r="D107">
        <v>10446.528913852375</v>
      </c>
      <c r="E107">
        <v>1.4</v>
      </c>
      <c r="F107">
        <v>5.4</v>
      </c>
      <c r="G107">
        <v>759.60577393000005</v>
      </c>
      <c r="H107">
        <v>99.648757930000002</v>
      </c>
      <c r="I107">
        <v>72.679359436035199</v>
      </c>
      <c r="J107">
        <v>8.1606715188350005</v>
      </c>
      <c r="K107">
        <v>94.276284545211595</v>
      </c>
    </row>
    <row r="108" spans="1:11" x14ac:dyDescent="0.3">
      <c r="A108" t="s">
        <v>10</v>
      </c>
      <c r="B108" t="s">
        <v>36</v>
      </c>
      <c r="C108">
        <v>76.246341463414637</v>
      </c>
      <c r="D108">
        <v>10808.397567423761</v>
      </c>
      <c r="E108">
        <v>1.41</v>
      </c>
      <c r="F108">
        <v>5.0999999999999996</v>
      </c>
      <c r="G108">
        <v>809.19940185999997</v>
      </c>
      <c r="H108">
        <v>100.20777889999999</v>
      </c>
      <c r="I108">
        <v>76.557121276855497</v>
      </c>
      <c r="J108">
        <v>8.6577184630550548</v>
      </c>
      <c r="K108">
        <v>94.954715362093907</v>
      </c>
    </row>
    <row r="109" spans="1:11" x14ac:dyDescent="0.3">
      <c r="A109" t="s">
        <v>11</v>
      </c>
      <c r="B109" t="s">
        <v>36</v>
      </c>
      <c r="C109">
        <v>76.695121951219519</v>
      </c>
      <c r="D109">
        <v>11370.313427172998</v>
      </c>
      <c r="E109">
        <v>1.33</v>
      </c>
      <c r="F109">
        <v>4.9000000000000004</v>
      </c>
      <c r="G109">
        <v>866.09466553000004</v>
      </c>
      <c r="H109">
        <v>100.6178513</v>
      </c>
      <c r="I109">
        <v>75.802101135253906</v>
      </c>
      <c r="J109">
        <v>8.5886795545993095</v>
      </c>
      <c r="K109">
        <v>95.634996777844705</v>
      </c>
    </row>
    <row r="110" spans="1:11" x14ac:dyDescent="0.3">
      <c r="A110" t="s">
        <v>12</v>
      </c>
      <c r="B110" t="s">
        <v>36</v>
      </c>
      <c r="C110">
        <v>76.746341463414637</v>
      </c>
      <c r="D110">
        <v>11542.235336801397</v>
      </c>
      <c r="E110">
        <v>1.33</v>
      </c>
      <c r="F110">
        <v>4.7</v>
      </c>
      <c r="G110">
        <v>815.14184569999998</v>
      </c>
      <c r="H110">
        <v>100.5648575</v>
      </c>
      <c r="I110">
        <v>75.038291931152301</v>
      </c>
      <c r="J110">
        <v>8.3992360698127992</v>
      </c>
      <c r="K110">
        <v>96.318014616442795</v>
      </c>
    </row>
    <row r="111" spans="1:11" x14ac:dyDescent="0.3">
      <c r="A111" t="s">
        <v>13</v>
      </c>
      <c r="B111" t="s">
        <v>36</v>
      </c>
      <c r="C111">
        <v>77.000000000000014</v>
      </c>
      <c r="D111">
        <v>11628.22868095249</v>
      </c>
      <c r="E111">
        <v>1.29</v>
      </c>
      <c r="F111">
        <v>4.5</v>
      </c>
      <c r="G111">
        <v>878.08837890999996</v>
      </c>
      <c r="H111">
        <v>111.51696010000001</v>
      </c>
      <c r="I111">
        <v>73.317268371582003</v>
      </c>
      <c r="J111">
        <v>8.2825309312286404</v>
      </c>
      <c r="K111">
        <v>97.003705688936506</v>
      </c>
    </row>
    <row r="112" spans="1:11" x14ac:dyDescent="0.3">
      <c r="A112" t="s">
        <v>14</v>
      </c>
      <c r="B112" t="s">
        <v>36</v>
      </c>
      <c r="C112">
        <v>77.60243902439025</v>
      </c>
      <c r="D112">
        <v>12093.162278739426</v>
      </c>
      <c r="E112">
        <v>1.32</v>
      </c>
      <c r="F112">
        <v>4.3</v>
      </c>
      <c r="G112">
        <v>911.29815673999997</v>
      </c>
      <c r="H112">
        <v>110.0310211</v>
      </c>
      <c r="I112">
        <v>70.238967895507798</v>
      </c>
      <c r="J112">
        <v>7.9592815218773882</v>
      </c>
      <c r="K112">
        <v>97.692103735985796</v>
      </c>
    </row>
    <row r="113" spans="1:11" x14ac:dyDescent="0.3">
      <c r="A113" t="s">
        <v>15</v>
      </c>
      <c r="B113" t="s">
        <v>36</v>
      </c>
      <c r="C113">
        <v>77.451219512195124</v>
      </c>
      <c r="D113">
        <v>12637.522032440615</v>
      </c>
      <c r="E113">
        <v>1.32</v>
      </c>
      <c r="F113">
        <v>4.2</v>
      </c>
      <c r="G113">
        <v>803.95965576000003</v>
      </c>
      <c r="H113">
        <v>109.4147873</v>
      </c>
      <c r="I113">
        <v>69.373199462890597</v>
      </c>
      <c r="J113">
        <v>8.0488544166793119</v>
      </c>
      <c r="K113">
        <v>98.383104297377002</v>
      </c>
    </row>
    <row r="114" spans="1:11" x14ac:dyDescent="0.3">
      <c r="A114" t="s">
        <v>16</v>
      </c>
      <c r="B114" t="s">
        <v>36</v>
      </c>
      <c r="C114">
        <v>77.851219512195144</v>
      </c>
      <c r="D114">
        <v>13026.185898871834</v>
      </c>
      <c r="E114">
        <v>1.39</v>
      </c>
      <c r="F114">
        <v>4.0999999999999996</v>
      </c>
      <c r="G114">
        <v>816.08618163999995</v>
      </c>
      <c r="H114">
        <v>109.1172485</v>
      </c>
      <c r="I114">
        <v>69.850379943847699</v>
      </c>
      <c r="J114">
        <v>8.3409053026399445</v>
      </c>
      <c r="K114">
        <v>98.796608992890199</v>
      </c>
    </row>
    <row r="115" spans="1:11" x14ac:dyDescent="0.3">
      <c r="A115" t="s">
        <v>17</v>
      </c>
      <c r="B115" t="s">
        <v>36</v>
      </c>
      <c r="C115">
        <v>77.753658536585377</v>
      </c>
      <c r="D115">
        <v>13695.645284872391</v>
      </c>
      <c r="E115">
        <v>1.48</v>
      </c>
      <c r="F115">
        <v>4</v>
      </c>
      <c r="G115">
        <v>909.57818603999999</v>
      </c>
      <c r="H115">
        <v>109.45922090000001</v>
      </c>
      <c r="I115">
        <v>70.617462158203097</v>
      </c>
      <c r="J115">
        <v>8.695218248004613</v>
      </c>
      <c r="K115">
        <v>98.955421937642498</v>
      </c>
    </row>
    <row r="116" spans="1:11" x14ac:dyDescent="0.3">
      <c r="A116" t="s">
        <v>18</v>
      </c>
      <c r="B116" t="s">
        <v>36</v>
      </c>
      <c r="C116">
        <v>77.60243902439025</v>
      </c>
      <c r="D116">
        <v>14551.085027708908</v>
      </c>
      <c r="E116">
        <v>1.46</v>
      </c>
      <c r="F116">
        <v>3.9</v>
      </c>
      <c r="G116">
        <v>978.73565673999997</v>
      </c>
      <c r="H116">
        <v>110.5419388</v>
      </c>
      <c r="I116">
        <v>71.021743774414105</v>
      </c>
      <c r="J116">
        <v>8.6785140126004769</v>
      </c>
      <c r="K116">
        <v>98.957533575700893</v>
      </c>
    </row>
    <row r="117" spans="1:11" x14ac:dyDescent="0.3">
      <c r="A117" t="s">
        <v>19</v>
      </c>
      <c r="B117" t="s">
        <v>36</v>
      </c>
      <c r="C117">
        <v>77.904878048780489</v>
      </c>
      <c r="D117">
        <v>15221.309062445382</v>
      </c>
      <c r="E117">
        <v>1.44</v>
      </c>
      <c r="F117">
        <v>3.8</v>
      </c>
      <c r="G117">
        <v>1014.0382080099999</v>
      </c>
      <c r="H117">
        <v>109.7533035</v>
      </c>
      <c r="I117">
        <v>70.906501770019503</v>
      </c>
      <c r="J117">
        <v>8.2201763575985822</v>
      </c>
      <c r="K117">
        <v>98.9575072700828</v>
      </c>
    </row>
    <row r="118" spans="1:11" x14ac:dyDescent="0.3">
      <c r="A118" t="s">
        <v>20</v>
      </c>
      <c r="B118" t="s">
        <v>36</v>
      </c>
      <c r="C118">
        <v>76.400000000000006</v>
      </c>
      <c r="D118">
        <v>15090.222844011319</v>
      </c>
      <c r="E118">
        <v>1.39</v>
      </c>
      <c r="F118">
        <v>3.8</v>
      </c>
      <c r="G118">
        <v>1025.9848632799999</v>
      </c>
      <c r="H118">
        <v>112.5762634</v>
      </c>
      <c r="I118">
        <v>70.973037719726605</v>
      </c>
      <c r="J118">
        <v>7.9135327383049896</v>
      </c>
      <c r="K118">
        <v>98.957356891599005</v>
      </c>
    </row>
    <row r="119" spans="1:11" x14ac:dyDescent="0.3">
      <c r="A119" t="s">
        <v>21</v>
      </c>
      <c r="B119" t="s">
        <v>36</v>
      </c>
      <c r="C119">
        <v>75.351219512195144</v>
      </c>
      <c r="D119">
        <v>16368.623968902501</v>
      </c>
      <c r="E119">
        <v>1.33</v>
      </c>
      <c r="F119">
        <v>3.8</v>
      </c>
      <c r="G119">
        <v>1183.30236816</v>
      </c>
      <c r="H119">
        <v>110.52970120000001</v>
      </c>
      <c r="I119">
        <v>72.206062316894503</v>
      </c>
      <c r="J119">
        <v>8.7570591602154995</v>
      </c>
      <c r="K119">
        <v>98.957082524143203</v>
      </c>
    </row>
    <row r="120" spans="1:11" x14ac:dyDescent="0.3">
      <c r="A120" t="s">
        <v>22</v>
      </c>
      <c r="B120" t="s">
        <v>36</v>
      </c>
      <c r="C120">
        <v>77.156097560975624</v>
      </c>
      <c r="D120">
        <v>17303.644943229963</v>
      </c>
      <c r="E120">
        <v>1.29</v>
      </c>
      <c r="F120">
        <v>3.7</v>
      </c>
      <c r="G120">
        <v>1193.1306152300001</v>
      </c>
      <c r="H120">
        <v>108.4821701</v>
      </c>
      <c r="I120">
        <v>75.291107177734403</v>
      </c>
      <c r="J120">
        <v>8.6169698240026555</v>
      </c>
      <c r="K120">
        <v>98.957082524143203</v>
      </c>
    </row>
    <row r="121" spans="1:11" x14ac:dyDescent="0.3">
      <c r="A121" t="s">
        <v>23</v>
      </c>
      <c r="B121" t="s">
        <v>36</v>
      </c>
      <c r="C121">
        <v>78.507317073170739</v>
      </c>
      <c r="D121">
        <v>17410.383013706578</v>
      </c>
      <c r="E121">
        <v>1.1579999999999999</v>
      </c>
      <c r="F121">
        <v>3.7</v>
      </c>
      <c r="G121">
        <v>1543.7124023399999</v>
      </c>
      <c r="H121">
        <v>108.3861313</v>
      </c>
      <c r="I121">
        <v>76.879409790039105</v>
      </c>
      <c r="J121">
        <v>7.8203188984498269</v>
      </c>
      <c r="K121">
        <v>98.957082524143203</v>
      </c>
    </row>
    <row r="122" spans="1:11" x14ac:dyDescent="0.3">
      <c r="A122" t="s">
        <v>0</v>
      </c>
      <c r="B122" t="s">
        <v>37</v>
      </c>
      <c r="C122">
        <v>72.287999999999997</v>
      </c>
      <c r="D122">
        <v>2237.4429850033412</v>
      </c>
      <c r="E122">
        <v>1.6279999999999999</v>
      </c>
      <c r="F122">
        <v>30</v>
      </c>
      <c r="G122">
        <v>42.807975769999999</v>
      </c>
      <c r="H122" s="2">
        <v>60.93</v>
      </c>
      <c r="I122">
        <v>7.57777976989746</v>
      </c>
      <c r="J122">
        <v>2.9041820939377301</v>
      </c>
      <c r="K122">
        <v>56.820111282532402</v>
      </c>
    </row>
    <row r="123" spans="1:11" x14ac:dyDescent="0.3">
      <c r="A123" t="s">
        <v>1</v>
      </c>
      <c r="B123" t="s">
        <v>37</v>
      </c>
      <c r="C123">
        <v>72.674999999999997</v>
      </c>
      <c r="D123">
        <v>2405.8939674321468</v>
      </c>
      <c r="E123">
        <v>1.5629999999999999</v>
      </c>
      <c r="F123">
        <v>27.8</v>
      </c>
      <c r="G123">
        <v>44.360420230000003</v>
      </c>
      <c r="H123" s="2">
        <v>60.87</v>
      </c>
      <c r="I123">
        <v>9.2806901931762695</v>
      </c>
      <c r="J123">
        <v>3.0230260643943865</v>
      </c>
      <c r="K123">
        <v>57.568458592325797</v>
      </c>
    </row>
    <row r="124" spans="1:11" x14ac:dyDescent="0.3">
      <c r="A124" t="s">
        <v>2</v>
      </c>
      <c r="B124" t="s">
        <v>37</v>
      </c>
      <c r="C124">
        <v>73.034000000000006</v>
      </c>
      <c r="D124">
        <v>2610.7296025237897</v>
      </c>
      <c r="E124">
        <v>1.5660000000000001</v>
      </c>
      <c r="F124">
        <v>25.6</v>
      </c>
      <c r="G124">
        <v>49.923946379999997</v>
      </c>
      <c r="H124" s="2">
        <v>62.88</v>
      </c>
      <c r="I124">
        <v>11.8050804138184</v>
      </c>
      <c r="J124">
        <v>3.2416260543580138</v>
      </c>
      <c r="K124">
        <v>59.719089230178298</v>
      </c>
    </row>
    <row r="125" spans="1:11" x14ac:dyDescent="0.3">
      <c r="A125" t="s">
        <v>3</v>
      </c>
      <c r="B125" t="s">
        <v>37</v>
      </c>
      <c r="C125">
        <v>73.385000000000005</v>
      </c>
      <c r="D125">
        <v>2857.0373538115014</v>
      </c>
      <c r="E125">
        <v>1.57</v>
      </c>
      <c r="F125">
        <v>23.5</v>
      </c>
      <c r="G125">
        <v>56.54468155</v>
      </c>
      <c r="H125" s="2">
        <v>64.11</v>
      </c>
      <c r="I125">
        <v>14.513970375061</v>
      </c>
      <c r="J125">
        <v>3.7184604160198695</v>
      </c>
      <c r="K125">
        <v>61.843613343657701</v>
      </c>
    </row>
    <row r="126" spans="1:11" x14ac:dyDescent="0.3">
      <c r="A126" t="s">
        <v>4</v>
      </c>
      <c r="B126" t="s">
        <v>37</v>
      </c>
      <c r="C126">
        <v>73.727000000000004</v>
      </c>
      <c r="D126">
        <v>3127.8627652363184</v>
      </c>
      <c r="E126">
        <v>1.605</v>
      </c>
      <c r="F126">
        <v>21.3</v>
      </c>
      <c r="G126">
        <v>64.281501770000006</v>
      </c>
      <c r="H126" s="2">
        <v>65.59</v>
      </c>
      <c r="I126">
        <v>16.9004402160644</v>
      </c>
      <c r="J126">
        <v>4.259581351387844</v>
      </c>
      <c r="K126">
        <v>63.940621186629699</v>
      </c>
    </row>
    <row r="127" spans="1:11" x14ac:dyDescent="0.3">
      <c r="A127" t="s">
        <v>5</v>
      </c>
      <c r="B127" t="s">
        <v>37</v>
      </c>
      <c r="C127">
        <v>74.084999999999994</v>
      </c>
      <c r="D127">
        <v>3465.8173440995101</v>
      </c>
      <c r="E127">
        <v>1.6240000000000001</v>
      </c>
      <c r="F127">
        <v>19.399999999999999</v>
      </c>
      <c r="G127">
        <v>73.002662659999999</v>
      </c>
      <c r="H127" s="2">
        <v>67.44</v>
      </c>
      <c r="I127">
        <v>18.656520843505898</v>
      </c>
      <c r="J127">
        <v>4.8052843401957475</v>
      </c>
      <c r="K127">
        <v>66.007415268661006</v>
      </c>
    </row>
    <row r="128" spans="1:11" x14ac:dyDescent="0.3">
      <c r="A128" t="s">
        <v>6</v>
      </c>
      <c r="B128" t="s">
        <v>37</v>
      </c>
      <c r="C128">
        <v>74.403999999999996</v>
      </c>
      <c r="D128">
        <v>3883.3541294247393</v>
      </c>
      <c r="E128">
        <v>1.6439999999999999</v>
      </c>
      <c r="F128">
        <v>17.7</v>
      </c>
      <c r="G128">
        <v>82.482566829999996</v>
      </c>
      <c r="H128" s="2">
        <v>67.989999999999995</v>
      </c>
      <c r="I128">
        <v>20.566770553588899</v>
      </c>
      <c r="J128">
        <v>5.3027007978520535</v>
      </c>
      <c r="K128">
        <v>68.032349437976706</v>
      </c>
    </row>
    <row r="129" spans="1:11" x14ac:dyDescent="0.3">
      <c r="A129" t="s">
        <v>7</v>
      </c>
      <c r="B129" t="s">
        <v>37</v>
      </c>
      <c r="C129">
        <v>74.789000000000001</v>
      </c>
      <c r="D129">
        <v>4409.7570083687806</v>
      </c>
      <c r="E129">
        <v>1.6659999999999999</v>
      </c>
      <c r="F129">
        <v>16.100000000000001</v>
      </c>
      <c r="G129">
        <v>98.556945799999994</v>
      </c>
      <c r="H129" s="2">
        <v>70.11</v>
      </c>
      <c r="I129">
        <v>21.471559524536101</v>
      </c>
      <c r="J129">
        <v>5.7330404397955812</v>
      </c>
      <c r="K129">
        <v>70.020979537399995</v>
      </c>
    </row>
    <row r="130" spans="1:11" x14ac:dyDescent="0.3">
      <c r="A130" t="s">
        <v>8</v>
      </c>
      <c r="B130" t="s">
        <v>37</v>
      </c>
      <c r="C130">
        <v>74.832999999999998</v>
      </c>
      <c r="D130">
        <v>4811.4747180496097</v>
      </c>
      <c r="E130">
        <v>1.7010000000000001</v>
      </c>
      <c r="F130">
        <v>14.8</v>
      </c>
      <c r="G130">
        <v>133.83999634</v>
      </c>
      <c r="H130" s="2">
        <v>71.87</v>
      </c>
      <c r="I130">
        <v>21.8667392730713</v>
      </c>
      <c r="J130">
        <v>5.8758140044011462</v>
      </c>
      <c r="K130">
        <v>71.979625638218707</v>
      </c>
    </row>
    <row r="131" spans="1:11" x14ac:dyDescent="0.3">
      <c r="A131" t="s">
        <v>9</v>
      </c>
      <c r="B131" t="s">
        <v>37</v>
      </c>
      <c r="C131">
        <v>75.316999999999993</v>
      </c>
      <c r="D131">
        <v>5237.7666654035247</v>
      </c>
      <c r="E131">
        <v>1.714</v>
      </c>
      <c r="F131">
        <v>13.6</v>
      </c>
      <c r="G131">
        <v>164.87619018999999</v>
      </c>
      <c r="H131" s="2">
        <v>73.209999999999994</v>
      </c>
      <c r="I131">
        <v>23.288629531860401</v>
      </c>
      <c r="J131">
        <v>6.2721069513092855</v>
      </c>
      <c r="K131">
        <v>73.906056089947995</v>
      </c>
    </row>
    <row r="132" spans="1:11" x14ac:dyDescent="0.3">
      <c r="A132" t="s">
        <v>10</v>
      </c>
      <c r="B132" t="s">
        <v>37</v>
      </c>
      <c r="C132">
        <v>75.668000000000006</v>
      </c>
      <c r="D132">
        <v>5764.865349874065</v>
      </c>
      <c r="E132">
        <v>1.6870000000000001</v>
      </c>
      <c r="F132">
        <v>12.5</v>
      </c>
      <c r="G132">
        <v>188.87156676999999</v>
      </c>
      <c r="H132" s="2">
        <v>74.459999999999994</v>
      </c>
      <c r="I132">
        <v>25.288306627770101</v>
      </c>
      <c r="J132">
        <v>6.828166449254506</v>
      </c>
      <c r="K132">
        <v>75.801047562910995</v>
      </c>
    </row>
    <row r="133" spans="1:11" x14ac:dyDescent="0.3">
      <c r="A133" t="s">
        <v>11</v>
      </c>
      <c r="B133" t="s">
        <v>37</v>
      </c>
      <c r="C133">
        <v>75.888999999999996</v>
      </c>
      <c r="D133">
        <v>6275.9095643625815</v>
      </c>
      <c r="E133">
        <v>1.6679999999999999</v>
      </c>
      <c r="F133">
        <v>11.5</v>
      </c>
      <c r="G133">
        <v>239.19824219</v>
      </c>
      <c r="H133" s="2">
        <v>77.47</v>
      </c>
      <c r="I133">
        <v>26.7875039907406</v>
      </c>
      <c r="J133">
        <v>7.4232064593114675</v>
      </c>
      <c r="K133">
        <v>77.651253410934203</v>
      </c>
    </row>
    <row r="134" spans="1:11" x14ac:dyDescent="0.3">
      <c r="A134" t="s">
        <v>12</v>
      </c>
      <c r="B134" t="s">
        <v>37</v>
      </c>
      <c r="C134">
        <v>76.2</v>
      </c>
      <c r="D134">
        <v>6723.1944375282328</v>
      </c>
      <c r="E134">
        <v>1.798</v>
      </c>
      <c r="F134">
        <v>10.5</v>
      </c>
      <c r="G134">
        <v>284.69760131999999</v>
      </c>
      <c r="H134" s="2">
        <v>78.06</v>
      </c>
      <c r="I134">
        <v>29.308190690329202</v>
      </c>
      <c r="J134">
        <v>7.6044757382642025</v>
      </c>
      <c r="K134">
        <v>79.464668205991003</v>
      </c>
    </row>
    <row r="135" spans="1:11" x14ac:dyDescent="0.3">
      <c r="A135" t="s">
        <v>13</v>
      </c>
      <c r="B135" t="s">
        <v>37</v>
      </c>
      <c r="C135">
        <v>76.451999999999998</v>
      </c>
      <c r="D135">
        <v>7198.0687647816167</v>
      </c>
      <c r="E135">
        <v>1.714</v>
      </c>
      <c r="F135">
        <v>9.6999999999999993</v>
      </c>
      <c r="G135">
        <v>329.08572387999999</v>
      </c>
      <c r="H135" s="2">
        <v>78.930000000000007</v>
      </c>
      <c r="I135">
        <v>32.719160315880302</v>
      </c>
      <c r="J135">
        <v>7.9165358997681992</v>
      </c>
      <c r="K135">
        <v>81.2467982370502</v>
      </c>
    </row>
    <row r="136" spans="1:11" x14ac:dyDescent="0.3">
      <c r="A136" t="s">
        <v>14</v>
      </c>
      <c r="B136" t="s">
        <v>37</v>
      </c>
      <c r="C136">
        <v>76.713999999999999</v>
      </c>
      <c r="D136">
        <v>7686.5779295438142</v>
      </c>
      <c r="E136">
        <v>1.7689999999999999</v>
      </c>
      <c r="F136">
        <v>8.9</v>
      </c>
      <c r="G136">
        <v>362.28695678999998</v>
      </c>
      <c r="H136" s="2">
        <v>80.489999999999995</v>
      </c>
      <c r="I136">
        <v>43.711005101685402</v>
      </c>
      <c r="J136">
        <v>7.9577528319216242</v>
      </c>
      <c r="K136">
        <v>82.998478835571206</v>
      </c>
    </row>
    <row r="137" spans="1:11" x14ac:dyDescent="0.3">
      <c r="A137" t="s">
        <v>15</v>
      </c>
      <c r="B137" t="s">
        <v>37</v>
      </c>
      <c r="C137">
        <v>76.974999999999994</v>
      </c>
      <c r="D137">
        <v>8175.3328507739288</v>
      </c>
      <c r="E137">
        <v>1.67</v>
      </c>
      <c r="F137">
        <v>8.1999999999999993</v>
      </c>
      <c r="G137">
        <v>393.09768677</v>
      </c>
      <c r="H137" s="2">
        <v>80.989999999999995</v>
      </c>
      <c r="I137">
        <v>47.1192619330726</v>
      </c>
      <c r="J137">
        <v>7.8101493629788532</v>
      </c>
      <c r="K137">
        <v>84.719314028975305</v>
      </c>
    </row>
    <row r="138" spans="1:11" x14ac:dyDescent="0.3">
      <c r="A138" t="s">
        <v>16</v>
      </c>
      <c r="B138" t="s">
        <v>37</v>
      </c>
      <c r="C138">
        <v>77.213999999999999</v>
      </c>
      <c r="D138">
        <v>8679.3770446013295</v>
      </c>
      <c r="E138">
        <v>1.772</v>
      </c>
      <c r="F138">
        <v>7.6</v>
      </c>
      <c r="G138">
        <v>398.17489624000001</v>
      </c>
      <c r="H138" s="2">
        <v>83.14</v>
      </c>
      <c r="I138">
        <v>49.309077375596999</v>
      </c>
      <c r="J138">
        <v>7.7857972027468136</v>
      </c>
      <c r="K138">
        <v>86.409476669677701</v>
      </c>
    </row>
    <row r="139" spans="1:11" x14ac:dyDescent="0.3">
      <c r="A139" t="s">
        <v>17</v>
      </c>
      <c r="B139" t="s">
        <v>37</v>
      </c>
      <c r="C139">
        <v>77.234999999999999</v>
      </c>
      <c r="D139">
        <v>9221.5140382057307</v>
      </c>
      <c r="E139">
        <v>1.7949999999999999</v>
      </c>
      <c r="F139">
        <v>7</v>
      </c>
      <c r="G139">
        <v>439.94006347999999</v>
      </c>
      <c r="H139" s="2">
        <v>84.16</v>
      </c>
      <c r="I139">
        <v>51.067881227340699</v>
      </c>
      <c r="J139">
        <v>7.9050340384539632</v>
      </c>
      <c r="K139">
        <v>88.068308924773007</v>
      </c>
    </row>
    <row r="140" spans="1:11" x14ac:dyDescent="0.3">
      <c r="A140" t="s">
        <v>18</v>
      </c>
      <c r="B140" t="s">
        <v>37</v>
      </c>
      <c r="C140">
        <v>77.709000000000003</v>
      </c>
      <c r="D140">
        <v>9798.6528523315974</v>
      </c>
      <c r="E140">
        <v>1.5389999999999999</v>
      </c>
      <c r="F140">
        <v>6.4</v>
      </c>
      <c r="G140">
        <v>504.10980224999997</v>
      </c>
      <c r="H140" s="2">
        <v>86.38</v>
      </c>
      <c r="I140">
        <v>53.398798457281401</v>
      </c>
      <c r="J140">
        <v>8.249747925518264</v>
      </c>
      <c r="K140">
        <v>89.694217941179701</v>
      </c>
    </row>
    <row r="141" spans="1:11" x14ac:dyDescent="0.3">
      <c r="A141" t="s">
        <v>19</v>
      </c>
      <c r="B141" t="s">
        <v>37</v>
      </c>
      <c r="C141">
        <v>77.94</v>
      </c>
      <c r="D141">
        <v>10356.480419499538</v>
      </c>
      <c r="E141">
        <v>1.496</v>
      </c>
      <c r="F141">
        <v>6</v>
      </c>
      <c r="G141">
        <v>538.99157715000001</v>
      </c>
      <c r="H141" s="2">
        <v>87.89</v>
      </c>
      <c r="I141">
        <v>56.605091792329198</v>
      </c>
      <c r="J141">
        <v>8.4181388674795503</v>
      </c>
      <c r="K141">
        <v>91.288136539544396</v>
      </c>
    </row>
    <row r="142" spans="1:11" x14ac:dyDescent="0.3">
      <c r="A142" t="s">
        <v>20</v>
      </c>
      <c r="B142" t="s">
        <v>37</v>
      </c>
      <c r="C142">
        <v>78.019000000000005</v>
      </c>
      <c r="D142">
        <v>10573.642005928228</v>
      </c>
      <c r="E142">
        <v>1.236</v>
      </c>
      <c r="F142">
        <v>5.5</v>
      </c>
      <c r="G142">
        <v>582.95092772999999</v>
      </c>
      <c r="H142" s="2">
        <v>88.43</v>
      </c>
      <c r="I142">
        <v>61.612467599694703</v>
      </c>
      <c r="J142">
        <v>8.519901495287364</v>
      </c>
      <c r="K142">
        <v>92.851497007632105</v>
      </c>
    </row>
    <row r="143" spans="1:11" x14ac:dyDescent="0.3">
      <c r="A143" t="s">
        <v>21</v>
      </c>
      <c r="B143" t="s">
        <v>37</v>
      </c>
      <c r="C143">
        <v>78.117000000000004</v>
      </c>
      <c r="D143">
        <v>11469.570713492762</v>
      </c>
      <c r="E143">
        <v>1.117</v>
      </c>
      <c r="F143">
        <v>5.0999999999999996</v>
      </c>
      <c r="G143">
        <v>670.25897216999999</v>
      </c>
      <c r="H143" s="2">
        <v>91.01</v>
      </c>
      <c r="I143">
        <v>66.818607759754201</v>
      </c>
      <c r="J143">
        <v>8.9365421705514176</v>
      </c>
      <c r="K143">
        <v>94.385756597916</v>
      </c>
    </row>
    <row r="144" spans="1:11" x14ac:dyDescent="0.3">
      <c r="A144" t="s">
        <v>22</v>
      </c>
      <c r="B144" t="s">
        <v>37</v>
      </c>
      <c r="C144">
        <v>78.201999999999998</v>
      </c>
      <c r="D144">
        <v>11830.598370349626</v>
      </c>
      <c r="E144">
        <v>1.034</v>
      </c>
      <c r="F144">
        <v>4.8</v>
      </c>
      <c r="G144">
        <v>672.45159911999997</v>
      </c>
      <c r="H144" s="2">
        <v>92.49</v>
      </c>
      <c r="I144">
        <v>71.579946508602404</v>
      </c>
      <c r="J144">
        <v>8.8705906137695401</v>
      </c>
      <c r="K144">
        <v>95.892361406945298</v>
      </c>
    </row>
    <row r="145" spans="1:11" x14ac:dyDescent="0.3">
      <c r="A145" t="s">
        <v>23</v>
      </c>
      <c r="B145" t="s">
        <v>37</v>
      </c>
      <c r="C145">
        <v>77.953000000000003</v>
      </c>
      <c r="D145">
        <v>12484.157884417456</v>
      </c>
      <c r="E145">
        <v>0.999</v>
      </c>
      <c r="F145">
        <v>4.5</v>
      </c>
      <c r="G145">
        <f>AVERAGE(G142:G144)</f>
        <v>641.88716634000002</v>
      </c>
      <c r="H145" s="2">
        <v>94.13</v>
      </c>
      <c r="I145">
        <v>74.593301461836603</v>
      </c>
      <c r="J145">
        <v>9.3992663268850425</v>
      </c>
      <c r="K145">
        <v>95.778880000000001</v>
      </c>
    </row>
    <row r="146" spans="1:11" x14ac:dyDescent="0.3">
      <c r="A146" t="s">
        <v>0</v>
      </c>
      <c r="B146" t="s">
        <v>38</v>
      </c>
      <c r="C146">
        <v>69.584000000000003</v>
      </c>
      <c r="D146">
        <v>6817.7842408570041</v>
      </c>
      <c r="E146">
        <v>2.2469999999999999</v>
      </c>
      <c r="F146">
        <v>29.1</v>
      </c>
      <c r="G146">
        <v>313.92590331999997</v>
      </c>
      <c r="H146" s="2">
        <v>80.7</v>
      </c>
      <c r="I146">
        <f t="shared" ref="I146:I154" si="1">AVERAGE(I147:I150)-3</f>
        <v>29.638865610245226</v>
      </c>
      <c r="J146">
        <v>2.0078189256000125</v>
      </c>
      <c r="K146">
        <v>73.128798832820294</v>
      </c>
    </row>
    <row r="147" spans="1:11" x14ac:dyDescent="0.3">
      <c r="A147" t="s">
        <v>1</v>
      </c>
      <c r="B147" t="s">
        <v>38</v>
      </c>
      <c r="C147">
        <v>69.98</v>
      </c>
      <c r="D147">
        <v>6823.0339699989054</v>
      </c>
      <c r="E147">
        <v>2.1619999999999999</v>
      </c>
      <c r="F147">
        <v>27.3</v>
      </c>
      <c r="G147">
        <v>271.56121825999998</v>
      </c>
      <c r="H147" s="2">
        <v>81.22</v>
      </c>
      <c r="I147">
        <f t="shared" si="1"/>
        <v>30.828505480923944</v>
      </c>
      <c r="J147">
        <v>1.9926852115694296</v>
      </c>
      <c r="K147">
        <v>74.037907884219194</v>
      </c>
    </row>
    <row r="148" spans="1:11" x14ac:dyDescent="0.3">
      <c r="A148" t="s">
        <v>2</v>
      </c>
      <c r="B148" t="s">
        <v>38</v>
      </c>
      <c r="C148">
        <v>70.396000000000001</v>
      </c>
      <c r="D148">
        <v>6944.6233749575467</v>
      </c>
      <c r="E148">
        <v>2.081</v>
      </c>
      <c r="F148">
        <v>25.5</v>
      </c>
      <c r="G148">
        <v>248.37753296</v>
      </c>
      <c r="H148" s="2">
        <v>81.64</v>
      </c>
      <c r="I148">
        <f t="shared" si="1"/>
        <v>32.035474778921362</v>
      </c>
      <c r="J148">
        <v>1.9686450489672236</v>
      </c>
      <c r="K148">
        <v>74.927983477833607</v>
      </c>
    </row>
    <row r="149" spans="1:11" x14ac:dyDescent="0.3">
      <c r="A149" t="s">
        <v>3</v>
      </c>
      <c r="B149" t="s">
        <v>38</v>
      </c>
      <c r="C149">
        <v>70.884</v>
      </c>
      <c r="D149">
        <v>6941.4404574507989</v>
      </c>
      <c r="E149">
        <v>2.0059999999999998</v>
      </c>
      <c r="F149">
        <v>23.9</v>
      </c>
      <c r="G149">
        <v>253.08970642</v>
      </c>
      <c r="H149" s="2">
        <v>83.69</v>
      </c>
      <c r="I149">
        <f t="shared" si="1"/>
        <v>33.255750605035594</v>
      </c>
      <c r="J149">
        <v>1.9181394310774513</v>
      </c>
      <c r="K149">
        <v>75.812640271499504</v>
      </c>
    </row>
    <row r="150" spans="1:11" x14ac:dyDescent="0.3">
      <c r="A150" t="s">
        <v>4</v>
      </c>
      <c r="B150" t="s">
        <v>38</v>
      </c>
      <c r="C150">
        <v>71.361000000000004</v>
      </c>
      <c r="D150">
        <v>7258.7818516591196</v>
      </c>
      <c r="E150">
        <v>1.9730000000000001</v>
      </c>
      <c r="F150">
        <v>22.4</v>
      </c>
      <c r="G150">
        <v>297.68243408000001</v>
      </c>
      <c r="H150" s="2">
        <v>85.64</v>
      </c>
      <c r="I150">
        <f t="shared" si="1"/>
        <v>34.435731576100011</v>
      </c>
      <c r="J150">
        <v>1.9993864189831236</v>
      </c>
      <c r="K150">
        <v>76.691537155758397</v>
      </c>
    </row>
    <row r="151" spans="1:11" x14ac:dyDescent="0.3">
      <c r="A151" t="s">
        <v>5</v>
      </c>
      <c r="B151" t="s">
        <v>38</v>
      </c>
      <c r="C151">
        <v>71.831999999999994</v>
      </c>
      <c r="D151">
        <v>7409.569132327184</v>
      </c>
      <c r="E151">
        <v>1.9419999999999999</v>
      </c>
      <c r="F151">
        <v>21</v>
      </c>
      <c r="G151">
        <v>387.93121337999997</v>
      </c>
      <c r="H151" s="2">
        <v>85.92</v>
      </c>
      <c r="I151">
        <f t="shared" si="1"/>
        <v>35.587064963638809</v>
      </c>
      <c r="J151">
        <v>1.9989539012044959</v>
      </c>
      <c r="K151">
        <v>77.564791419470296</v>
      </c>
    </row>
    <row r="152" spans="1:11" x14ac:dyDescent="0.3">
      <c r="A152" t="s">
        <v>6</v>
      </c>
      <c r="B152" t="s">
        <v>38</v>
      </c>
      <c r="C152">
        <v>72.296000000000006</v>
      </c>
      <c r="D152">
        <v>7622.0400713326408</v>
      </c>
      <c r="E152">
        <v>1.8959999999999999</v>
      </c>
      <c r="F152">
        <v>19.7</v>
      </c>
      <c r="G152">
        <v>489.53884887999999</v>
      </c>
      <c r="H152" s="2">
        <v>87.26</v>
      </c>
      <c r="I152">
        <f t="shared" si="1"/>
        <v>36.863351970911047</v>
      </c>
      <c r="J152">
        <v>2.0017839938864985</v>
      </c>
      <c r="K152">
        <v>78.432911051564801</v>
      </c>
    </row>
    <row r="153" spans="1:11" x14ac:dyDescent="0.3">
      <c r="A153" t="s">
        <v>7</v>
      </c>
      <c r="B153" t="s">
        <v>38</v>
      </c>
      <c r="C153">
        <v>72.73</v>
      </c>
      <c r="D153">
        <v>8003.2541309604749</v>
      </c>
      <c r="E153">
        <v>1.8540000000000001</v>
      </c>
      <c r="F153">
        <v>18.600000000000001</v>
      </c>
      <c r="G153">
        <v>607.73022461000005</v>
      </c>
      <c r="H153" s="2">
        <v>88.43</v>
      </c>
      <c r="I153">
        <f t="shared" si="1"/>
        <v>38.136853909492515</v>
      </c>
      <c r="J153">
        <v>2.0845545681962436</v>
      </c>
      <c r="K153">
        <v>79.295978037690404</v>
      </c>
    </row>
    <row r="154" spans="1:11" x14ac:dyDescent="0.3">
      <c r="A154" t="s">
        <v>8</v>
      </c>
      <c r="B154" t="s">
        <v>38</v>
      </c>
      <c r="C154">
        <v>73.111000000000004</v>
      </c>
      <c r="D154">
        <v>8330.7645984130395</v>
      </c>
      <c r="E154">
        <v>1.8149999999999999</v>
      </c>
      <c r="F154">
        <v>17.600000000000001</v>
      </c>
      <c r="G154">
        <v>713.67193603999999</v>
      </c>
      <c r="H154" s="2">
        <v>90.31</v>
      </c>
      <c r="I154">
        <f t="shared" si="1"/>
        <v>39.155655460357693</v>
      </c>
      <c r="J154">
        <v>2.1679158955564755</v>
      </c>
      <c r="K154">
        <v>80.154078978512999</v>
      </c>
    </row>
    <row r="155" spans="1:11" x14ac:dyDescent="0.3">
      <c r="A155" t="s">
        <v>9</v>
      </c>
      <c r="B155" t="s">
        <v>38</v>
      </c>
      <c r="C155">
        <v>73.456999999999994</v>
      </c>
      <c r="D155">
        <v>8246.0970699509398</v>
      </c>
      <c r="E155">
        <v>1.7989999999999999</v>
      </c>
      <c r="F155">
        <v>16.7</v>
      </c>
      <c r="G155">
        <v>728.55639647999999</v>
      </c>
      <c r="H155" s="2">
        <v>91.21</v>
      </c>
      <c r="I155">
        <f>AVERAGE(I156:I159)-3</f>
        <v>40.192398513793968</v>
      </c>
      <c r="J155">
        <v>2.0067752932735807</v>
      </c>
      <c r="K155">
        <v>81.006526883753295</v>
      </c>
    </row>
    <row r="156" spans="1:11" x14ac:dyDescent="0.3">
      <c r="A156" t="s">
        <v>10</v>
      </c>
      <c r="B156" t="s">
        <v>38</v>
      </c>
      <c r="C156">
        <v>73.778999999999996</v>
      </c>
      <c r="D156">
        <v>8792.6343612034161</v>
      </c>
      <c r="E156">
        <v>1.786</v>
      </c>
      <c r="F156">
        <v>16</v>
      </c>
      <c r="G156">
        <v>906.00988770000004</v>
      </c>
      <c r="H156" s="2">
        <v>92.58</v>
      </c>
      <c r="I156">
        <v>41.968499999999999</v>
      </c>
      <c r="J156">
        <v>2.2703408389908186</v>
      </c>
      <c r="K156">
        <v>81.854207204087999</v>
      </c>
    </row>
    <row r="157" spans="1:11" x14ac:dyDescent="0.3">
      <c r="A157" t="s">
        <v>11</v>
      </c>
      <c r="B157" t="s">
        <v>38</v>
      </c>
      <c r="C157">
        <v>74.046999999999997</v>
      </c>
      <c r="D157">
        <v>9067.9931634804725</v>
      </c>
      <c r="E157">
        <v>1.7769999999999999</v>
      </c>
      <c r="F157">
        <v>15.3</v>
      </c>
      <c r="G157">
        <v>1043.3548584</v>
      </c>
      <c r="H157" s="2">
        <v>92.97</v>
      </c>
      <c r="I157">
        <v>43.230861663818402</v>
      </c>
      <c r="J157">
        <v>2.3734640722095564</v>
      </c>
      <c r="K157">
        <v>82.7005761863484</v>
      </c>
    </row>
    <row r="158" spans="1:11" x14ac:dyDescent="0.3">
      <c r="A158" t="s">
        <v>12</v>
      </c>
      <c r="B158" t="s">
        <v>38</v>
      </c>
      <c r="C158">
        <v>74.334999999999994</v>
      </c>
      <c r="D158">
        <v>9167.4992392981549</v>
      </c>
      <c r="E158">
        <v>1.766</v>
      </c>
      <c r="F158">
        <v>14.8</v>
      </c>
      <c r="G158">
        <v>968.72778319999998</v>
      </c>
      <c r="H158">
        <v>94.320976259999995</v>
      </c>
      <c r="I158">
        <v>43.230861663818402</v>
      </c>
      <c r="J158">
        <v>2.5281030668063127</v>
      </c>
      <c r="K158">
        <v>83.542224137762403</v>
      </c>
    </row>
    <row r="159" spans="1:11" x14ac:dyDescent="0.3">
      <c r="A159" t="s">
        <v>13</v>
      </c>
      <c r="B159" t="s">
        <v>38</v>
      </c>
      <c r="C159">
        <v>74.608999999999995</v>
      </c>
      <c r="D159">
        <v>9366.7393243435854</v>
      </c>
      <c r="E159">
        <v>1.7609999999999999</v>
      </c>
      <c r="F159">
        <v>14.4</v>
      </c>
      <c r="G159">
        <v>993.79608154000005</v>
      </c>
      <c r="H159">
        <v>103.9176865</v>
      </c>
      <c r="I159">
        <v>44.339370727539098</v>
      </c>
      <c r="J159">
        <v>2.6360967553435151</v>
      </c>
      <c r="K159">
        <v>84.378514220739802</v>
      </c>
    </row>
    <row r="160" spans="1:11" x14ac:dyDescent="0.3">
      <c r="A160" t="s">
        <v>14</v>
      </c>
      <c r="B160" t="s">
        <v>38</v>
      </c>
      <c r="C160">
        <v>74.822999999999993</v>
      </c>
      <c r="D160">
        <v>9338.3427827811447</v>
      </c>
      <c r="E160">
        <v>1.7749999999999999</v>
      </c>
      <c r="F160">
        <v>14</v>
      </c>
      <c r="G160">
        <v>1030.6627197299999</v>
      </c>
      <c r="H160">
        <v>102.6355286</v>
      </c>
      <c r="I160">
        <v>47.156871795654297</v>
      </c>
      <c r="J160">
        <v>2.7295871921554671</v>
      </c>
      <c r="K160">
        <v>85.2106414441147</v>
      </c>
    </row>
    <row r="161" spans="1:11" x14ac:dyDescent="0.3">
      <c r="A161" t="s">
        <v>15</v>
      </c>
      <c r="B161" t="s">
        <v>38</v>
      </c>
      <c r="C161">
        <v>75.105999999999995</v>
      </c>
      <c r="D161">
        <v>8936.1966171211279</v>
      </c>
      <c r="E161">
        <v>1.7769999999999999</v>
      </c>
      <c r="F161">
        <v>13.7</v>
      </c>
      <c r="G161">
        <v>796.15252685999997</v>
      </c>
      <c r="H161">
        <v>100.920517</v>
      </c>
      <c r="I161">
        <v>48.434040069580099</v>
      </c>
      <c r="J161">
        <v>2.5664471781336373</v>
      </c>
      <c r="K161">
        <v>86.037959423760199</v>
      </c>
    </row>
    <row r="162" spans="1:11" x14ac:dyDescent="0.3">
      <c r="A162" t="s">
        <v>16</v>
      </c>
      <c r="B162" t="s">
        <v>38</v>
      </c>
      <c r="C162">
        <v>75.081000000000003</v>
      </c>
      <c r="D162">
        <v>8577.843766509106</v>
      </c>
      <c r="E162">
        <v>1.7270000000000001</v>
      </c>
      <c r="F162">
        <v>14.6</v>
      </c>
      <c r="G162">
        <v>810.20037841999999</v>
      </c>
      <c r="H162">
        <v>102.56950380000001</v>
      </c>
      <c r="I162">
        <v>48.333339691162102</v>
      </c>
      <c r="J162">
        <v>2.3739483184063013</v>
      </c>
      <c r="K162">
        <v>86.860243293716195</v>
      </c>
    </row>
    <row r="163" spans="1:11" x14ac:dyDescent="0.3">
      <c r="A163" t="s">
        <v>17</v>
      </c>
      <c r="B163" t="s">
        <v>38</v>
      </c>
      <c r="C163">
        <v>75.382999999999996</v>
      </c>
      <c r="D163">
        <v>8628.2530890804264</v>
      </c>
      <c r="E163">
        <v>1.74</v>
      </c>
      <c r="F163">
        <v>13.3</v>
      </c>
      <c r="G163">
        <v>954.75012206999997</v>
      </c>
      <c r="H163">
        <v>103.01596069999999</v>
      </c>
      <c r="I163">
        <v>50.026748657226598</v>
      </c>
      <c r="J163">
        <v>2.4156828430513224</v>
      </c>
      <c r="K163">
        <v>87.677959281937902</v>
      </c>
    </row>
    <row r="164" spans="1:11" x14ac:dyDescent="0.3">
      <c r="A164" t="s">
        <v>18</v>
      </c>
      <c r="B164" t="s">
        <v>38</v>
      </c>
      <c r="C164">
        <v>75.632999999999996</v>
      </c>
      <c r="D164">
        <v>8722.3363031793451</v>
      </c>
      <c r="E164">
        <v>1.744</v>
      </c>
      <c r="F164">
        <v>13.1</v>
      </c>
      <c r="G164">
        <v>880.28430175999995</v>
      </c>
      <c r="H164">
        <v>105.0070724</v>
      </c>
      <c r="I164">
        <v>51.191688537597699</v>
      </c>
      <c r="J164">
        <v>2.2840951731438515</v>
      </c>
      <c r="K164">
        <v>88.490543903449804</v>
      </c>
    </row>
    <row r="165" spans="1:11" x14ac:dyDescent="0.3">
      <c r="A165" t="s">
        <v>19</v>
      </c>
      <c r="B165" t="s">
        <v>38</v>
      </c>
      <c r="C165">
        <v>75.808999999999997</v>
      </c>
      <c r="D165">
        <v>8771.4405129217703</v>
      </c>
      <c r="E165">
        <v>1.7050000000000001</v>
      </c>
      <c r="F165">
        <v>13</v>
      </c>
      <c r="G165">
        <v>868.17248534999999</v>
      </c>
      <c r="H165">
        <v>103.95327760000001</v>
      </c>
      <c r="I165">
        <v>52.624061584472699</v>
      </c>
      <c r="J165">
        <v>2.2565142525364923</v>
      </c>
      <c r="K165">
        <v>89.298795927984003</v>
      </c>
    </row>
    <row r="166" spans="1:11" x14ac:dyDescent="0.3">
      <c r="A166" t="s">
        <v>20</v>
      </c>
      <c r="B166" t="s">
        <v>38</v>
      </c>
      <c r="C166">
        <v>74.506</v>
      </c>
      <c r="D166">
        <v>8435.0114325497798</v>
      </c>
      <c r="E166">
        <v>1.653</v>
      </c>
      <c r="F166">
        <v>12.8</v>
      </c>
      <c r="G166">
        <v>680.76843262</v>
      </c>
      <c r="H166">
        <v>104.12599950000001</v>
      </c>
      <c r="I166">
        <v>54.572811126708999</v>
      </c>
      <c r="J166">
        <v>2.1442619310431037</v>
      </c>
      <c r="K166">
        <v>90.078476480156795</v>
      </c>
    </row>
    <row r="167" spans="1:11" x14ac:dyDescent="0.3">
      <c r="A167" t="s">
        <v>21</v>
      </c>
      <c r="B167" t="s">
        <v>38</v>
      </c>
      <c r="C167">
        <v>73.037999999999997</v>
      </c>
      <c r="D167">
        <v>8799.2294581090064</v>
      </c>
      <c r="E167">
        <v>1.6379999999999999</v>
      </c>
      <c r="F167">
        <v>12.7</v>
      </c>
      <c r="G167">
        <v>768.27075194999998</v>
      </c>
      <c r="H167">
        <v>106.65189359999999</v>
      </c>
      <c r="I167">
        <v>56.830619812011697</v>
      </c>
      <c r="J167">
        <v>2.4146542118428145</v>
      </c>
      <c r="K167">
        <v>90.810985239453601</v>
      </c>
    </row>
    <row r="168" spans="1:11" x14ac:dyDescent="0.3">
      <c r="A168" t="s">
        <v>22</v>
      </c>
      <c r="B168" t="s">
        <v>38</v>
      </c>
      <c r="C168">
        <v>74.872</v>
      </c>
      <c r="D168">
        <v>9032.0848156629927</v>
      </c>
      <c r="E168">
        <v>1.629</v>
      </c>
      <c r="F168">
        <v>12.6</v>
      </c>
      <c r="G168">
        <v>848.57122803000004</v>
      </c>
      <c r="H168">
        <v>106.031189</v>
      </c>
      <c r="I168">
        <v>60.390621185302699</v>
      </c>
      <c r="J168">
        <v>2.2772215483773999</v>
      </c>
      <c r="K168">
        <v>90.883499368782296</v>
      </c>
    </row>
    <row r="169" spans="1:11" x14ac:dyDescent="0.3">
      <c r="A169" t="s">
        <v>23</v>
      </c>
      <c r="B169" t="s">
        <v>38</v>
      </c>
      <c r="C169">
        <v>75.847999999999999</v>
      </c>
      <c r="D169">
        <v>9288.0270147006886</v>
      </c>
      <c r="E169">
        <v>1.619</v>
      </c>
      <c r="F169">
        <v>12.5</v>
      </c>
      <c r="G169">
        <f>AVERAGE(G166:G168)</f>
        <v>765.87013753333338</v>
      </c>
      <c r="H169">
        <f>AVERAGE(H166:H168)</f>
        <v>105.60302736666667</v>
      </c>
      <c r="I169">
        <v>60.3673</v>
      </c>
      <c r="J169">
        <v>2.2710170712728761</v>
      </c>
      <c r="K169">
        <v>90.872100000000003</v>
      </c>
    </row>
    <row r="170" spans="1:11" x14ac:dyDescent="0.3">
      <c r="A170" t="s">
        <v>0</v>
      </c>
      <c r="B170" t="s">
        <v>39</v>
      </c>
      <c r="C170">
        <v>56.084000000000003</v>
      </c>
      <c r="D170">
        <v>1195.4129685165601</v>
      </c>
      <c r="E170">
        <v>5.1360000000000001</v>
      </c>
      <c r="F170">
        <v>63.8</v>
      </c>
      <c r="G170">
        <v>21.53400993</v>
      </c>
      <c r="H170" s="2">
        <v>40.961790000000001</v>
      </c>
      <c r="I170">
        <v>2.8150100708007799</v>
      </c>
      <c r="J170">
        <v>0.29060901240059273</v>
      </c>
      <c r="K170">
        <v>28.053166112866698</v>
      </c>
    </row>
    <row r="171" spans="1:11" x14ac:dyDescent="0.3">
      <c r="A171" t="s">
        <v>1</v>
      </c>
      <c r="B171" t="s">
        <v>39</v>
      </c>
      <c r="C171">
        <v>56.500999999999998</v>
      </c>
      <c r="D171">
        <v>1202.293487599874</v>
      </c>
      <c r="E171">
        <v>5.0940000000000003</v>
      </c>
      <c r="F171">
        <v>61.2</v>
      </c>
      <c r="G171">
        <v>22.114875789999999</v>
      </c>
      <c r="H171" s="2">
        <v>41.68571</v>
      </c>
      <c r="I171">
        <v>2.8829998970031698</v>
      </c>
      <c r="J171">
        <v>0.26094296592858068</v>
      </c>
      <c r="K171">
        <v>28.3656056383386</v>
      </c>
    </row>
    <row r="172" spans="1:11" x14ac:dyDescent="0.3">
      <c r="A172" t="s">
        <v>2</v>
      </c>
      <c r="B172" t="s">
        <v>39</v>
      </c>
      <c r="C172">
        <v>56.759</v>
      </c>
      <c r="D172">
        <v>1171.426251734903</v>
      </c>
      <c r="E172">
        <v>5.0270000000000001</v>
      </c>
      <c r="F172">
        <v>58.3</v>
      </c>
      <c r="G172">
        <v>22.28772163</v>
      </c>
      <c r="H172" s="2">
        <v>41.861020000000003</v>
      </c>
      <c r="I172">
        <v>2.87671995162964</v>
      </c>
      <c r="J172">
        <v>0.24541057673400957</v>
      </c>
      <c r="K172">
        <v>28.733594491455801</v>
      </c>
    </row>
    <row r="173" spans="1:11" x14ac:dyDescent="0.3">
      <c r="A173" t="s">
        <v>3</v>
      </c>
      <c r="B173" t="s">
        <v>39</v>
      </c>
      <c r="C173">
        <v>57.369</v>
      </c>
      <c r="D173">
        <v>1169.1443367405077</v>
      </c>
      <c r="E173">
        <v>4.9370000000000003</v>
      </c>
      <c r="F173">
        <v>55.5</v>
      </c>
      <c r="G173">
        <v>25.640123370000001</v>
      </c>
      <c r="H173" s="2">
        <v>43.581130000000002</v>
      </c>
      <c r="I173">
        <v>2.7637700000000001</v>
      </c>
      <c r="J173">
        <v>0.21482384685255412</v>
      </c>
      <c r="K173">
        <v>29.103314991973001</v>
      </c>
    </row>
    <row r="174" spans="1:11" x14ac:dyDescent="0.3">
      <c r="A174" t="s">
        <v>4</v>
      </c>
      <c r="B174" t="s">
        <v>39</v>
      </c>
      <c r="C174">
        <v>57.947000000000003</v>
      </c>
      <c r="D174">
        <v>1191.2544360455595</v>
      </c>
      <c r="E174">
        <v>4.8609999999999998</v>
      </c>
      <c r="F174">
        <v>52.5</v>
      </c>
      <c r="G174">
        <v>27.65002823</v>
      </c>
      <c r="H174" s="2">
        <v>47.117939999999997</v>
      </c>
      <c r="I174">
        <v>2.9626700878143302</v>
      </c>
      <c r="J174">
        <v>0.23190719563927015</v>
      </c>
      <c r="K174">
        <v>29.474803158182699</v>
      </c>
    </row>
    <row r="175" spans="1:11" x14ac:dyDescent="0.3">
      <c r="A175" t="s">
        <v>5</v>
      </c>
      <c r="B175" t="s">
        <v>39</v>
      </c>
      <c r="C175">
        <v>58.51</v>
      </c>
      <c r="D175">
        <v>1223.4473847201932</v>
      </c>
      <c r="E175">
        <v>4.8010000000000002</v>
      </c>
      <c r="F175">
        <v>49.4</v>
      </c>
      <c r="G175">
        <v>30.994342799999998</v>
      </c>
      <c r="H175" s="2">
        <v>47.263590000000001</v>
      </c>
      <c r="I175">
        <v>3.0009999275207502</v>
      </c>
      <c r="J175">
        <v>0.2520862104781017</v>
      </c>
      <c r="K175">
        <v>29.848047955005001</v>
      </c>
    </row>
    <row r="176" spans="1:11" x14ac:dyDescent="0.3">
      <c r="A176" t="s">
        <v>6</v>
      </c>
      <c r="B176" t="s">
        <v>39</v>
      </c>
      <c r="C176">
        <v>59.058999999999997</v>
      </c>
      <c r="D176">
        <v>1263.5416466621134</v>
      </c>
      <c r="E176">
        <v>4.7539999999999996</v>
      </c>
      <c r="F176">
        <v>46.9</v>
      </c>
      <c r="G176">
        <v>40.304012299999997</v>
      </c>
      <c r="H176" s="2">
        <v>48.813110000000002</v>
      </c>
      <c r="I176">
        <v>3.2222</v>
      </c>
      <c r="J176">
        <v>0.27239588718927227</v>
      </c>
      <c r="K176">
        <v>30.223139908434099</v>
      </c>
    </row>
    <row r="177" spans="1:11" x14ac:dyDescent="0.3">
      <c r="A177" t="s">
        <v>7</v>
      </c>
      <c r="B177" t="s">
        <v>39</v>
      </c>
      <c r="C177">
        <v>59.406999999999996</v>
      </c>
      <c r="D177">
        <v>1309.9109294821587</v>
      </c>
      <c r="E177">
        <v>4.718</v>
      </c>
      <c r="F177">
        <v>44.9</v>
      </c>
      <c r="G177">
        <v>49.446052549999997</v>
      </c>
      <c r="H177" s="2">
        <v>50.871360000000003</v>
      </c>
      <c r="I177">
        <v>2.3330000000000002</v>
      </c>
      <c r="J177">
        <v>0.26427878238260982</v>
      </c>
      <c r="K177">
        <v>30.600121032019398</v>
      </c>
    </row>
    <row r="178" spans="1:11" x14ac:dyDescent="0.3">
      <c r="A178" t="s">
        <v>8</v>
      </c>
      <c r="B178" t="s">
        <v>39</v>
      </c>
      <c r="C178">
        <v>59.954999999999998</v>
      </c>
      <c r="D178">
        <v>1273.7722610307271</v>
      </c>
      <c r="E178">
        <v>4.66</v>
      </c>
      <c r="F178">
        <v>42.4</v>
      </c>
      <c r="G178">
        <v>54.35681915</v>
      </c>
      <c r="H178" s="2">
        <v>57.035350000000001</v>
      </c>
      <c r="I178">
        <v>3.738337</v>
      </c>
      <c r="J178">
        <v>0.27066788235406042</v>
      </c>
      <c r="K178">
        <v>30.979034639325</v>
      </c>
    </row>
    <row r="179" spans="1:11" x14ac:dyDescent="0.3">
      <c r="A179" t="s">
        <v>9</v>
      </c>
      <c r="B179" t="s">
        <v>39</v>
      </c>
      <c r="C179">
        <v>60.482999999999997</v>
      </c>
      <c r="D179">
        <v>1276.7350348607429</v>
      </c>
      <c r="E179">
        <v>4.5670000000000002</v>
      </c>
      <c r="F179">
        <v>41.9</v>
      </c>
      <c r="G179">
        <v>55.455615999999999</v>
      </c>
      <c r="H179" s="2">
        <v>57.74071</v>
      </c>
      <c r="I179">
        <v>3.9923000335693399</v>
      </c>
      <c r="J179">
        <v>0.30960760591029335</v>
      </c>
      <c r="K179">
        <v>31.359859976935901</v>
      </c>
    </row>
    <row r="180" spans="1:11" x14ac:dyDescent="0.3">
      <c r="A180" t="s">
        <v>10</v>
      </c>
      <c r="B180" t="s">
        <v>39</v>
      </c>
      <c r="C180">
        <v>60.914999999999999</v>
      </c>
      <c r="D180">
        <v>1340.164674088561</v>
      </c>
      <c r="E180">
        <v>4.4459999999999997</v>
      </c>
      <c r="F180">
        <v>41.4</v>
      </c>
      <c r="G180">
        <v>58.816471100000001</v>
      </c>
      <c r="H180" s="2">
        <v>56.388339000000002</v>
      </c>
      <c r="I180">
        <v>6.7373729999999998</v>
      </c>
      <c r="J180">
        <v>0.32574439403165018</v>
      </c>
      <c r="K180">
        <v>31.742698093320001</v>
      </c>
    </row>
    <row r="181" spans="1:11" x14ac:dyDescent="0.3">
      <c r="A181" t="s">
        <v>11</v>
      </c>
      <c r="B181" t="s">
        <v>39</v>
      </c>
      <c r="C181">
        <v>61.283000000000001</v>
      </c>
      <c r="D181">
        <v>1370.5800087448199</v>
      </c>
      <c r="E181">
        <v>4.2839999999999998</v>
      </c>
      <c r="F181">
        <v>41.1</v>
      </c>
      <c r="G181">
        <v>57.022869110000002</v>
      </c>
      <c r="H181" s="2">
        <v>58.22</v>
      </c>
      <c r="I181">
        <v>5.7282820000000001</v>
      </c>
      <c r="J181">
        <v>0.32706509245035736</v>
      </c>
      <c r="K181">
        <v>32.127760507779598</v>
      </c>
    </row>
    <row r="182" spans="1:11" x14ac:dyDescent="0.3">
      <c r="A182" t="s">
        <v>12</v>
      </c>
      <c r="B182" t="s">
        <v>39</v>
      </c>
      <c r="C182">
        <v>61.536999999999999</v>
      </c>
      <c r="D182">
        <v>1396.3017870975641</v>
      </c>
      <c r="E182">
        <v>4.1159999999999997</v>
      </c>
      <c r="F182">
        <v>41.3</v>
      </c>
      <c r="G182">
        <v>64.482315060000005</v>
      </c>
      <c r="H182" s="2">
        <v>57.87</v>
      </c>
      <c r="I182">
        <v>7.7271999999999998</v>
      </c>
      <c r="J182">
        <v>0.29593989997744957</v>
      </c>
      <c r="K182">
        <v>32.5150753685583</v>
      </c>
    </row>
    <row r="183" spans="1:11" x14ac:dyDescent="0.3">
      <c r="A183" t="s">
        <v>13</v>
      </c>
      <c r="B183" t="s">
        <v>39</v>
      </c>
      <c r="C183">
        <v>61.728999999999999</v>
      </c>
      <c r="D183">
        <v>1413.9414252258257</v>
      </c>
      <c r="E183">
        <v>3.9550000000000001</v>
      </c>
      <c r="F183">
        <v>40.9</v>
      </c>
      <c r="G183">
        <v>67.598098750000005</v>
      </c>
      <c r="H183" s="2">
        <v>59.41</v>
      </c>
      <c r="I183">
        <v>6.6727699999999999</v>
      </c>
      <c r="J183">
        <v>0.31871355305160576</v>
      </c>
      <c r="K183">
        <v>32.904772071146603</v>
      </c>
    </row>
    <row r="184" spans="1:11" x14ac:dyDescent="0.3">
      <c r="A184" t="s">
        <v>14</v>
      </c>
      <c r="B184" t="s">
        <v>39</v>
      </c>
      <c r="C184">
        <v>61.99</v>
      </c>
      <c r="D184">
        <v>1450.5933820227672</v>
      </c>
      <c r="E184">
        <v>3.843</v>
      </c>
      <c r="F184">
        <v>40.1</v>
      </c>
      <c r="G184">
        <v>72.845893860000004</v>
      </c>
      <c r="H184" s="2">
        <v>60.23</v>
      </c>
      <c r="I184">
        <v>8.8282000000000007</v>
      </c>
      <c r="J184">
        <v>0.35608224194509447</v>
      </c>
      <c r="K184">
        <v>33.296846958146403</v>
      </c>
    </row>
    <row r="185" spans="1:11" x14ac:dyDescent="0.3">
      <c r="A185" t="s">
        <v>15</v>
      </c>
      <c r="B185" t="s">
        <v>39</v>
      </c>
      <c r="C185">
        <v>62.279000000000003</v>
      </c>
      <c r="D185">
        <v>1489.1195977728398</v>
      </c>
      <c r="E185">
        <v>3.766</v>
      </c>
      <c r="F185">
        <v>39.1</v>
      </c>
      <c r="G185">
        <v>70.947555539999996</v>
      </c>
      <c r="H185" s="2">
        <v>63.39</v>
      </c>
      <c r="I185">
        <v>9.2531949618872105</v>
      </c>
      <c r="J185">
        <v>0.37672871731002999</v>
      </c>
      <c r="K185">
        <v>33.691397204597898</v>
      </c>
    </row>
    <row r="186" spans="1:11" x14ac:dyDescent="0.3">
      <c r="A186" t="s">
        <v>16</v>
      </c>
      <c r="B186" t="s">
        <v>39</v>
      </c>
      <c r="C186">
        <v>62.526000000000003</v>
      </c>
      <c r="D186">
        <v>1517.9779605774199</v>
      </c>
      <c r="E186">
        <v>3.6890000000000001</v>
      </c>
      <c r="F186">
        <v>38.700000000000003</v>
      </c>
      <c r="G186">
        <v>73.88768005</v>
      </c>
      <c r="H186" s="2">
        <v>72.575100000000006</v>
      </c>
      <c r="I186">
        <v>10.288220000000001</v>
      </c>
      <c r="J186">
        <v>0.39946873771738478</v>
      </c>
      <c r="K186">
        <v>34.088494263223502</v>
      </c>
    </row>
    <row r="187" spans="1:11" x14ac:dyDescent="0.3">
      <c r="A187" t="s">
        <v>17</v>
      </c>
      <c r="B187" t="s">
        <v>39</v>
      </c>
      <c r="C187">
        <v>62.725000000000001</v>
      </c>
      <c r="D187">
        <v>1542.3377397337213</v>
      </c>
      <c r="E187">
        <v>3.609</v>
      </c>
      <c r="F187">
        <v>38.5</v>
      </c>
      <c r="G187">
        <v>66.465522770000007</v>
      </c>
      <c r="H187" s="2">
        <v>74.469899999999996</v>
      </c>
      <c r="I187">
        <v>11.8049232142021</v>
      </c>
      <c r="J187">
        <v>0.40527856488442993</v>
      </c>
      <c r="K187">
        <v>34.488204004274102</v>
      </c>
    </row>
    <row r="188" spans="1:11" x14ac:dyDescent="0.3">
      <c r="A188" t="s">
        <v>18</v>
      </c>
      <c r="B188" t="s">
        <v>39</v>
      </c>
      <c r="C188">
        <v>62.825000000000003</v>
      </c>
      <c r="D188">
        <v>1596.6904591494501</v>
      </c>
      <c r="E188">
        <v>3.536</v>
      </c>
      <c r="F188">
        <v>37.799999999999997</v>
      </c>
      <c r="G188">
        <v>75.276817320000006</v>
      </c>
      <c r="H188" s="2">
        <f>AVERAGE(H186:H187)</f>
        <v>73.522500000000008</v>
      </c>
      <c r="I188">
        <v>10</v>
      </c>
      <c r="J188">
        <v>0.38069510756714187</v>
      </c>
      <c r="K188">
        <v>34.8906417362588</v>
      </c>
    </row>
    <row r="189" spans="1:11" x14ac:dyDescent="0.3">
      <c r="A189" t="s">
        <v>19</v>
      </c>
      <c r="B189" t="s">
        <v>39</v>
      </c>
      <c r="C189">
        <v>62.939</v>
      </c>
      <c r="D189">
        <v>1645.7096177786214</v>
      </c>
      <c r="E189">
        <v>3.4329999999999998</v>
      </c>
      <c r="F189">
        <v>37.200000000000003</v>
      </c>
      <c r="G189">
        <v>85.645286560000002</v>
      </c>
      <c r="H189" s="2">
        <v>75.220299999999995</v>
      </c>
      <c r="I189">
        <v>10.4975595474243</v>
      </c>
      <c r="J189">
        <v>0.37914898722291246</v>
      </c>
      <c r="K189">
        <v>35.295794788161302</v>
      </c>
    </row>
    <row r="190" spans="1:11" x14ac:dyDescent="0.3">
      <c r="A190" t="s">
        <v>20</v>
      </c>
      <c r="B190" t="s">
        <v>39</v>
      </c>
      <c r="C190">
        <v>61.595999999999997</v>
      </c>
      <c r="D190">
        <v>1609.3341407828091</v>
      </c>
      <c r="E190">
        <v>3.3639999999999999</v>
      </c>
      <c r="F190">
        <v>36.9</v>
      </c>
      <c r="G190">
        <v>86.592178340000004</v>
      </c>
      <c r="H190" s="2">
        <v>76.378799999999998</v>
      </c>
      <c r="I190">
        <v>8.4322222222000001</v>
      </c>
      <c r="J190">
        <v>0.36785677338486877</v>
      </c>
      <c r="K190">
        <v>35.703819942841697</v>
      </c>
    </row>
    <row r="191" spans="1:11" x14ac:dyDescent="0.3">
      <c r="A191" t="s">
        <v>21</v>
      </c>
      <c r="B191" t="s">
        <v>39</v>
      </c>
      <c r="C191">
        <v>61.225000000000001</v>
      </c>
      <c r="D191">
        <v>1698.8957827144363</v>
      </c>
      <c r="E191">
        <v>3.3119999999999998</v>
      </c>
      <c r="F191">
        <v>36.4</v>
      </c>
      <c r="G191">
        <v>94.106155400000006</v>
      </c>
      <c r="H191" s="2">
        <v>80.346400000000003</v>
      </c>
      <c r="I191">
        <v>9.3219999999999992</v>
      </c>
      <c r="J191">
        <v>0.40376055498502178</v>
      </c>
      <c r="K191">
        <v>36.114755671387698</v>
      </c>
    </row>
    <row r="192" spans="1:11" x14ac:dyDescent="0.3">
      <c r="A192" t="s">
        <v>22</v>
      </c>
      <c r="B192" t="s">
        <v>39</v>
      </c>
      <c r="C192">
        <v>63.548999999999999</v>
      </c>
      <c r="D192">
        <v>1747.5319880442844</v>
      </c>
      <c r="E192">
        <v>3.262</v>
      </c>
      <c r="F192">
        <v>35.799999999999997</v>
      </c>
      <c r="G192">
        <v>90.439826969999999</v>
      </c>
      <c r="H192" s="2">
        <v>83.373329999999996</v>
      </c>
      <c r="I192">
        <v>10.2828</v>
      </c>
      <c r="J192">
        <v>0.39426045576070734</v>
      </c>
      <c r="K192">
        <v>36.528720029266999</v>
      </c>
    </row>
    <row r="193" spans="1:11" x14ac:dyDescent="0.3">
      <c r="A193" t="s">
        <v>23</v>
      </c>
      <c r="B193" t="s">
        <v>39</v>
      </c>
      <c r="C193">
        <v>63.646000000000001</v>
      </c>
      <c r="D193">
        <v>1808.4047912967681</v>
      </c>
      <c r="E193">
        <v>3.2080000000000002</v>
      </c>
      <c r="F193">
        <v>34.700000000000003</v>
      </c>
      <c r="G193">
        <f>AVERAGE(G190:G192)</f>
        <v>90.379386903333341</v>
      </c>
      <c r="H193" s="2">
        <v>84.308999999999997</v>
      </c>
      <c r="I193">
        <v>8.6767673006697894</v>
      </c>
      <c r="J193">
        <v>0.3927374694480853</v>
      </c>
      <c r="K193">
        <v>36.733820000000001</v>
      </c>
    </row>
    <row r="194" spans="1:11" x14ac:dyDescent="0.3">
      <c r="A194" t="s">
        <v>0</v>
      </c>
      <c r="B194" t="s">
        <v>40</v>
      </c>
      <c r="C194">
        <v>47.936999999999998</v>
      </c>
      <c r="D194">
        <v>528.49217911529468</v>
      </c>
      <c r="E194">
        <v>7.2489999999999997</v>
      </c>
      <c r="F194">
        <v>102</v>
      </c>
      <c r="G194">
        <v>10.07452297</v>
      </c>
      <c r="H194">
        <v>10.964280128479</v>
      </c>
      <c r="I194">
        <v>0.79297000169753995</v>
      </c>
      <c r="J194">
        <v>2.8453636491048678E-2</v>
      </c>
      <c r="K194">
        <v>9.6926743015075996</v>
      </c>
    </row>
    <row r="195" spans="1:11" x14ac:dyDescent="0.3">
      <c r="A195" t="s">
        <v>1</v>
      </c>
      <c r="B195" t="s">
        <v>40</v>
      </c>
      <c r="C195">
        <v>48.305999999999997</v>
      </c>
      <c r="D195">
        <v>570.53086261347369</v>
      </c>
      <c r="E195">
        <v>7.2309999999999999</v>
      </c>
      <c r="F195">
        <v>100.3</v>
      </c>
      <c r="G195">
        <v>11.64042854</v>
      </c>
      <c r="H195">
        <v>12.653400421142599</v>
      </c>
      <c r="I195">
        <v>0.81611001491546598</v>
      </c>
      <c r="J195">
        <v>2.7464401909832254E-2</v>
      </c>
      <c r="K195">
        <v>9.7751137675039992</v>
      </c>
    </row>
    <row r="196" spans="1:11" x14ac:dyDescent="0.3">
      <c r="A196" t="s">
        <v>2</v>
      </c>
      <c r="B196" t="s">
        <v>40</v>
      </c>
      <c r="C196">
        <v>48.36</v>
      </c>
      <c r="D196">
        <v>597.78688365237804</v>
      </c>
      <c r="E196">
        <v>7.2009999999999996</v>
      </c>
      <c r="F196">
        <v>98.5</v>
      </c>
      <c r="G196">
        <v>18.017377849999999</v>
      </c>
      <c r="H196">
        <v>13.436820030212401</v>
      </c>
      <c r="I196">
        <v>0.93300000000000005</v>
      </c>
      <c r="J196">
        <v>2.8762009400416313E-2</v>
      </c>
      <c r="K196">
        <v>9.8577100308179393</v>
      </c>
    </row>
    <row r="197" spans="1:11" x14ac:dyDescent="0.3">
      <c r="A197" t="s">
        <v>3</v>
      </c>
      <c r="B197" t="s">
        <v>40</v>
      </c>
      <c r="C197">
        <v>48.609000000000002</v>
      </c>
      <c r="D197">
        <v>658.9284549905816</v>
      </c>
      <c r="E197">
        <v>7.1790000000000003</v>
      </c>
      <c r="F197">
        <v>96.6</v>
      </c>
      <c r="G197">
        <v>18.020244600000002</v>
      </c>
      <c r="H197">
        <v>14.8295497894287</v>
      </c>
      <c r="I197">
        <v>0.94213998317718495</v>
      </c>
      <c r="J197">
        <v>4.1684966419623957E-2</v>
      </c>
      <c r="K197">
        <v>9.9408105122920905</v>
      </c>
    </row>
    <row r="198" spans="1:11" x14ac:dyDescent="0.3">
      <c r="A198" t="s">
        <v>4</v>
      </c>
      <c r="B198" t="s">
        <v>40</v>
      </c>
      <c r="C198">
        <v>48.686999999999998</v>
      </c>
      <c r="D198">
        <v>842.15876487739763</v>
      </c>
      <c r="E198">
        <v>7.16</v>
      </c>
      <c r="F198">
        <v>94.8</v>
      </c>
      <c r="G198">
        <v>27.749942780000001</v>
      </c>
      <c r="H198">
        <v>15.217809677124</v>
      </c>
      <c r="I198">
        <v>1.20975995063782</v>
      </c>
      <c r="J198">
        <v>4.5897010857621885E-2</v>
      </c>
      <c r="K198">
        <v>10.0242445629892</v>
      </c>
    </row>
    <row r="199" spans="1:11" x14ac:dyDescent="0.3">
      <c r="A199" t="s">
        <v>5</v>
      </c>
      <c r="B199" t="s">
        <v>40</v>
      </c>
      <c r="C199">
        <v>48.86</v>
      </c>
      <c r="D199">
        <v>949.08601164851711</v>
      </c>
      <c r="E199">
        <v>7.1340000000000003</v>
      </c>
      <c r="F199">
        <v>93</v>
      </c>
      <c r="G199">
        <v>31.27608871</v>
      </c>
      <c r="H199">
        <v>15.5320997238159</v>
      </c>
      <c r="I199">
        <v>1.4159699678421001</v>
      </c>
      <c r="J199">
        <v>4.6591374282878198E-2</v>
      </c>
      <c r="K199">
        <v>10.108011210330799</v>
      </c>
    </row>
    <row r="200" spans="1:11" x14ac:dyDescent="0.3">
      <c r="A200" t="s">
        <v>6</v>
      </c>
      <c r="B200" t="s">
        <v>40</v>
      </c>
      <c r="C200">
        <v>48.747</v>
      </c>
      <c r="D200">
        <v>910.77345155582384</v>
      </c>
      <c r="E200">
        <v>7.1180000000000003</v>
      </c>
      <c r="F200">
        <v>91</v>
      </c>
      <c r="G200">
        <v>33.8651123</v>
      </c>
      <c r="H200">
        <v>15.869790077209499</v>
      </c>
      <c r="I200">
        <v>1.2330000000000001</v>
      </c>
      <c r="J200">
        <v>4.6700933943957385E-2</v>
      </c>
      <c r="K200">
        <v>10.1921110893801</v>
      </c>
    </row>
    <row r="201" spans="1:11" x14ac:dyDescent="0.3">
      <c r="A201" t="s">
        <v>7</v>
      </c>
      <c r="B201" t="s">
        <v>40</v>
      </c>
      <c r="C201">
        <v>49.21</v>
      </c>
      <c r="D201">
        <v>918.26554005388164</v>
      </c>
      <c r="E201">
        <v>7.0919999999999996</v>
      </c>
      <c r="F201">
        <v>89</v>
      </c>
      <c r="G201">
        <v>34.042358399999998</v>
      </c>
      <c r="H201">
        <v>18.290990829467798</v>
      </c>
      <c r="I201">
        <v>1.4532</v>
      </c>
      <c r="J201">
        <v>5.1201715266485349E-2</v>
      </c>
      <c r="K201">
        <v>10.2767456265106</v>
      </c>
    </row>
    <row r="202" spans="1:11" x14ac:dyDescent="0.3">
      <c r="A202" t="s">
        <v>8</v>
      </c>
      <c r="B202" t="s">
        <v>40</v>
      </c>
      <c r="C202">
        <v>49.503</v>
      </c>
      <c r="D202">
        <v>914.25060294387924</v>
      </c>
      <c r="E202">
        <v>7.0629999999999997</v>
      </c>
      <c r="F202">
        <v>87</v>
      </c>
      <c r="G202">
        <v>36.899219510000002</v>
      </c>
      <c r="H202">
        <v>20.790489196777301</v>
      </c>
      <c r="I202">
        <v>1.95048999786377</v>
      </c>
      <c r="J202">
        <v>4.2348158325647922E-2</v>
      </c>
      <c r="K202">
        <v>10.3615172599108</v>
      </c>
    </row>
    <row r="203" spans="1:11" x14ac:dyDescent="0.3">
      <c r="A203" t="s">
        <v>9</v>
      </c>
      <c r="B203" t="s">
        <v>40</v>
      </c>
      <c r="C203">
        <v>49.828000000000003</v>
      </c>
      <c r="D203">
        <v>870.35379576717082</v>
      </c>
      <c r="E203">
        <v>7.0209999999999999</v>
      </c>
      <c r="F203">
        <v>84.9</v>
      </c>
      <c r="G203">
        <v>34.824352259999998</v>
      </c>
      <c r="H203">
        <v>22.754270553588899</v>
      </c>
      <c r="I203">
        <v>2.0165100097656201</v>
      </c>
      <c r="J203">
        <v>4.1912755215888942E-2</v>
      </c>
      <c r="K203">
        <v>10.4835850614972</v>
      </c>
    </row>
    <row r="204" spans="1:11" x14ac:dyDescent="0.3">
      <c r="A204" t="s">
        <v>10</v>
      </c>
      <c r="B204" t="s">
        <v>40</v>
      </c>
      <c r="C204">
        <v>50.106999999999999</v>
      </c>
      <c r="D204">
        <v>956.72415381353733</v>
      </c>
      <c r="E204">
        <v>6.99</v>
      </c>
      <c r="F204">
        <v>82.8</v>
      </c>
      <c r="G204">
        <v>35.26005936</v>
      </c>
      <c r="H204">
        <v>22.369271805703999</v>
      </c>
      <c r="I204">
        <v>2.0962732183809001</v>
      </c>
      <c r="J204">
        <v>4.2265732391477816E-2</v>
      </c>
      <c r="K204">
        <v>10.6144009031658</v>
      </c>
    </row>
    <row r="205" spans="1:11" x14ac:dyDescent="0.3">
      <c r="A205" t="s">
        <v>11</v>
      </c>
      <c r="B205" t="s">
        <v>40</v>
      </c>
      <c r="C205">
        <v>50.426000000000002</v>
      </c>
      <c r="D205">
        <v>965.59324256778893</v>
      </c>
      <c r="E205">
        <v>6.9480000000000004</v>
      </c>
      <c r="F205">
        <v>80.7</v>
      </c>
      <c r="G205">
        <v>37.358680730000003</v>
      </c>
      <c r="H205">
        <v>22.822481755181801</v>
      </c>
      <c r="I205">
        <v>2.2131289839093902</v>
      </c>
      <c r="J205">
        <v>5.3963164397451448E-2</v>
      </c>
      <c r="K205">
        <v>10.7545445031211</v>
      </c>
    </row>
    <row r="206" spans="1:11" x14ac:dyDescent="0.3">
      <c r="A206" t="s">
        <v>12</v>
      </c>
      <c r="B206" t="s">
        <v>40</v>
      </c>
      <c r="C206">
        <v>50.765000000000001</v>
      </c>
      <c r="D206">
        <v>1016.6589675622785</v>
      </c>
      <c r="E206">
        <v>6.9050000000000002</v>
      </c>
      <c r="F206">
        <v>78.599999999999994</v>
      </c>
      <c r="G206">
        <v>36.20247269</v>
      </c>
      <c r="H206">
        <v>22.108790343133901</v>
      </c>
      <c r="I206">
        <v>2.6821999999999999</v>
      </c>
      <c r="J206">
        <v>9.2248897471636879E-2</v>
      </c>
      <c r="K206">
        <v>10.904855366766</v>
      </c>
    </row>
    <row r="207" spans="1:11" x14ac:dyDescent="0.3">
      <c r="A207" t="s">
        <v>13</v>
      </c>
      <c r="B207" t="s">
        <v>40</v>
      </c>
      <c r="C207">
        <v>51.051000000000002</v>
      </c>
      <c r="D207">
        <v>1008.5499655211578</v>
      </c>
      <c r="E207">
        <v>6.8390000000000004</v>
      </c>
      <c r="F207">
        <v>76.599999999999994</v>
      </c>
      <c r="G207">
        <v>38.594135280000003</v>
      </c>
      <c r="H207">
        <v>24.5326035474767</v>
      </c>
      <c r="I207">
        <v>2.8271999999999999</v>
      </c>
      <c r="J207">
        <v>9.6756435340121849E-2</v>
      </c>
      <c r="K207">
        <v>11.0657151939012</v>
      </c>
    </row>
    <row r="208" spans="1:11" x14ac:dyDescent="0.3">
      <c r="A208" t="s">
        <v>14</v>
      </c>
      <c r="B208" t="s">
        <v>40</v>
      </c>
      <c r="C208">
        <v>51.140999999999998</v>
      </c>
      <c r="D208">
        <v>993.25648925194957</v>
      </c>
      <c r="E208">
        <v>6.7809999999999997</v>
      </c>
      <c r="F208">
        <v>74.8</v>
      </c>
      <c r="G208">
        <v>42.162761690000004</v>
      </c>
      <c r="H208">
        <v>22.848579406738299</v>
      </c>
      <c r="I208">
        <v>3.38820626861646</v>
      </c>
      <c r="J208">
        <v>9.8945088471244461E-2</v>
      </c>
      <c r="K208">
        <v>11.2377496545349</v>
      </c>
    </row>
    <row r="209" spans="1:11" x14ac:dyDescent="0.3">
      <c r="A209" t="s">
        <v>15</v>
      </c>
      <c r="B209" t="s">
        <v>40</v>
      </c>
      <c r="C209">
        <v>51.32</v>
      </c>
      <c r="D209">
        <v>993.99073061086915</v>
      </c>
      <c r="E209">
        <v>6.7060000000000004</v>
      </c>
      <c r="F209">
        <v>72.8</v>
      </c>
      <c r="G209">
        <v>33.820922850000002</v>
      </c>
      <c r="H209">
        <v>22.245424879518801</v>
      </c>
      <c r="I209">
        <v>3.2275067759043301</v>
      </c>
      <c r="J209">
        <v>0.10936246916820146</v>
      </c>
      <c r="K209">
        <v>11.421878924852701</v>
      </c>
    </row>
    <row r="210" spans="1:11" x14ac:dyDescent="0.3">
      <c r="A210" t="s">
        <v>16</v>
      </c>
      <c r="B210" t="s">
        <v>40</v>
      </c>
      <c r="C210">
        <v>51.603000000000002</v>
      </c>
      <c r="D210">
        <v>923.49434829396534</v>
      </c>
      <c r="E210">
        <v>6.6230000000000002</v>
      </c>
      <c r="F210">
        <v>71</v>
      </c>
      <c r="G210">
        <v>31.96038055</v>
      </c>
      <c r="H210">
        <v>22.530490847166998</v>
      </c>
      <c r="I210">
        <v>3.5444</v>
      </c>
      <c r="J210">
        <v>0.10983380037453716</v>
      </c>
      <c r="K210">
        <v>11.6187911506186</v>
      </c>
    </row>
    <row r="211" spans="1:11" x14ac:dyDescent="0.3">
      <c r="A211" t="s">
        <v>17</v>
      </c>
      <c r="B211" t="s">
        <v>40</v>
      </c>
      <c r="C211">
        <v>51.875</v>
      </c>
      <c r="D211">
        <v>878.9137855408926</v>
      </c>
      <c r="E211">
        <v>6.5369999999999999</v>
      </c>
      <c r="F211">
        <v>69.2</v>
      </c>
      <c r="G211">
        <v>29.993589400000001</v>
      </c>
      <c r="H211">
        <v>20.585567847356099</v>
      </c>
      <c r="I211">
        <v>3.45566</v>
      </c>
      <c r="J211">
        <v>0.13842625364700306</v>
      </c>
      <c r="K211">
        <v>11.8291927798898</v>
      </c>
    </row>
    <row r="212" spans="1:11" x14ac:dyDescent="0.3">
      <c r="A212" t="s">
        <v>18</v>
      </c>
      <c r="B212" t="s">
        <v>40</v>
      </c>
      <c r="C212">
        <v>52.447000000000003</v>
      </c>
      <c r="D212">
        <v>898.66904035343441</v>
      </c>
      <c r="E212">
        <v>6.4640000000000004</v>
      </c>
      <c r="F212">
        <v>67.400000000000006</v>
      </c>
      <c r="G212">
        <v>31.2043705</v>
      </c>
      <c r="H212">
        <v>20.002118069477401</v>
      </c>
      <c r="I212">
        <v>4.1829999999999998</v>
      </c>
      <c r="J212">
        <v>0.13998673353828242</v>
      </c>
      <c r="K212">
        <v>12.054119739418001</v>
      </c>
    </row>
    <row r="213" spans="1:11" x14ac:dyDescent="0.3">
      <c r="A213" t="s">
        <v>19</v>
      </c>
      <c r="B213" t="s">
        <v>40</v>
      </c>
      <c r="C213">
        <v>52.993000000000002</v>
      </c>
      <c r="D213">
        <v>917.08533993355627</v>
      </c>
      <c r="E213">
        <v>6.4119999999999999</v>
      </c>
      <c r="F213">
        <v>65.5</v>
      </c>
      <c r="G213">
        <v>30.23999405</v>
      </c>
      <c r="H213">
        <v>20.192877474143</v>
      </c>
      <c r="I213">
        <v>4.3467799999999999</v>
      </c>
      <c r="J213">
        <v>0.14173619375659527</v>
      </c>
      <c r="K213">
        <v>12.2940188961564</v>
      </c>
    </row>
    <row r="214" spans="1:11" x14ac:dyDescent="0.3">
      <c r="A214" t="s">
        <v>20</v>
      </c>
      <c r="B214" t="s">
        <v>40</v>
      </c>
      <c r="C214">
        <v>53.082000000000001</v>
      </c>
      <c r="D214">
        <v>884.73087468762617</v>
      </c>
      <c r="E214">
        <v>6.3460000000000001</v>
      </c>
      <c r="F214">
        <v>63.6</v>
      </c>
      <c r="G214">
        <v>37.730880740000003</v>
      </c>
      <c r="H214">
        <v>22.634747000000001</v>
      </c>
      <c r="I214">
        <v>4.3966596726706504</v>
      </c>
      <c r="J214">
        <v>0.12428098079505573</v>
      </c>
      <c r="K214">
        <v>12.550320717895699</v>
      </c>
    </row>
    <row r="215" spans="1:11" x14ac:dyDescent="0.3">
      <c r="A215" t="s">
        <v>21</v>
      </c>
      <c r="B215" t="s">
        <v>40</v>
      </c>
      <c r="C215">
        <v>53.136000000000003</v>
      </c>
      <c r="D215">
        <v>857.2902942514537</v>
      </c>
      <c r="E215">
        <v>6.2549999999999999</v>
      </c>
      <c r="F215">
        <v>61.9</v>
      </c>
      <c r="G215">
        <v>37.591567990000001</v>
      </c>
      <c r="H215">
        <v>23.154176773479701</v>
      </c>
      <c r="I215">
        <v>5.0398199999999997</v>
      </c>
      <c r="J215">
        <v>0.12284981276649734</v>
      </c>
      <c r="K215">
        <v>12.823518025615</v>
      </c>
    </row>
    <row r="216" spans="1:11" x14ac:dyDescent="0.3">
      <c r="A216" t="s">
        <v>22</v>
      </c>
      <c r="B216" t="s">
        <v>40</v>
      </c>
      <c r="C216">
        <v>54.527999999999999</v>
      </c>
      <c r="D216">
        <v>934.96773279526053</v>
      </c>
      <c r="E216">
        <v>6.2149999999999999</v>
      </c>
      <c r="F216">
        <v>60.3</v>
      </c>
      <c r="G216">
        <v>40.170074460000002</v>
      </c>
      <c r="H216">
        <v>23.231999999999999</v>
      </c>
      <c r="I216">
        <v>4.9033300000000004</v>
      </c>
      <c r="J216">
        <v>0.13584161875093334</v>
      </c>
      <c r="K216">
        <v>12.9220664368098</v>
      </c>
    </row>
    <row r="217" spans="1:11" x14ac:dyDescent="0.3">
      <c r="A217" t="s">
        <v>23</v>
      </c>
      <c r="B217" t="s">
        <v>40</v>
      </c>
      <c r="C217">
        <v>55.069000000000003</v>
      </c>
      <c r="D217">
        <v>929.94134759111921</v>
      </c>
      <c r="E217">
        <v>6.12</v>
      </c>
      <c r="F217">
        <v>58.7</v>
      </c>
      <c r="G217">
        <f>AVERAGE(G214:G216)</f>
        <v>38.497507730000002</v>
      </c>
      <c r="H217">
        <v>24.194164800131599</v>
      </c>
      <c r="I217">
        <v>5.0092100000000004</v>
      </c>
      <c r="J217">
        <v>0.13310168649992568</v>
      </c>
      <c r="K217">
        <v>12.9292</v>
      </c>
    </row>
  </sheetData>
  <phoneticPr fontId="1" type="noConversion"/>
  <pageMargins left="0.7" right="0.7" top="0.75" bottom="0.75" header="0.3" footer="0.3"/>
  <ignoredErrors>
    <ignoredError sqref="G25"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
  <sheetViews>
    <sheetView topLeftCell="B1" workbookViewId="0">
      <selection activeCell="E5" sqref="E5"/>
    </sheetView>
  </sheetViews>
  <sheetFormatPr defaultRowHeight="14.4" x14ac:dyDescent="0.3"/>
  <cols>
    <col min="1" max="1" width="15.6640625" customWidth="1"/>
    <col min="2" max="17" width="50.6640625" customWidth="1"/>
  </cols>
  <sheetData>
    <row r="1" spans="1:17" x14ac:dyDescent="0.3">
      <c r="A1" t="s">
        <v>43</v>
      </c>
      <c r="B1" t="s">
        <v>44</v>
      </c>
      <c r="C1" t="s">
        <v>45</v>
      </c>
      <c r="D1" t="s">
        <v>46</v>
      </c>
      <c r="E1" t="s">
        <v>47</v>
      </c>
      <c r="F1" t="s">
        <v>48</v>
      </c>
      <c r="G1" t="s">
        <v>49</v>
      </c>
      <c r="H1" t="s">
        <v>50</v>
      </c>
      <c r="I1" t="s">
        <v>51</v>
      </c>
      <c r="J1" t="s">
        <v>52</v>
      </c>
      <c r="K1" t="s">
        <v>53</v>
      </c>
      <c r="L1" t="s">
        <v>54</v>
      </c>
      <c r="M1" t="s">
        <v>55</v>
      </c>
      <c r="N1" t="s">
        <v>56</v>
      </c>
      <c r="O1" t="s">
        <v>57</v>
      </c>
      <c r="P1" t="s">
        <v>58</v>
      </c>
      <c r="Q1" t="s">
        <v>59</v>
      </c>
    </row>
    <row r="2" spans="1:17" x14ac:dyDescent="0.3">
      <c r="A2" t="s">
        <v>60</v>
      </c>
      <c r="B2" t="s">
        <v>61</v>
      </c>
      <c r="C2" t="s">
        <v>25</v>
      </c>
      <c r="D2" t="s">
        <v>62</v>
      </c>
      <c r="E2" t="s">
        <v>62</v>
      </c>
      <c r="F2" t="s">
        <v>63</v>
      </c>
      <c r="G2" t="s">
        <v>64</v>
      </c>
      <c r="H2" t="s">
        <v>65</v>
      </c>
      <c r="I2" t="s">
        <v>66</v>
      </c>
      <c r="J2" t="s">
        <v>67</v>
      </c>
      <c r="K2" t="s">
        <v>68</v>
      </c>
      <c r="L2" t="s">
        <v>69</v>
      </c>
      <c r="M2" t="s">
        <v>70</v>
      </c>
      <c r="N2" t="s">
        <v>71</v>
      </c>
      <c r="O2" t="s">
        <v>72</v>
      </c>
      <c r="Q2" t="s">
        <v>73</v>
      </c>
    </row>
    <row r="3" spans="1:17" x14ac:dyDescent="0.3">
      <c r="A3" t="s">
        <v>74</v>
      </c>
      <c r="B3" t="s">
        <v>61</v>
      </c>
      <c r="C3" t="s">
        <v>26</v>
      </c>
      <c r="D3" t="s">
        <v>75</v>
      </c>
      <c r="E3" t="s">
        <v>75</v>
      </c>
      <c r="F3" t="s">
        <v>76</v>
      </c>
      <c r="G3" t="s">
        <v>77</v>
      </c>
      <c r="H3" t="s">
        <v>65</v>
      </c>
      <c r="I3" t="s">
        <v>78</v>
      </c>
      <c r="J3" t="s">
        <v>67</v>
      </c>
      <c r="K3" t="s">
        <v>79</v>
      </c>
      <c r="L3" t="s">
        <v>69</v>
      </c>
      <c r="M3" t="s">
        <v>80</v>
      </c>
      <c r="N3" t="s">
        <v>81</v>
      </c>
      <c r="Q3" t="s">
        <v>73</v>
      </c>
    </row>
    <row r="4" spans="1:17" x14ac:dyDescent="0.3">
      <c r="A4" t="s">
        <v>82</v>
      </c>
      <c r="B4" t="s">
        <v>61</v>
      </c>
      <c r="C4" t="s">
        <v>136</v>
      </c>
      <c r="D4" t="s">
        <v>137</v>
      </c>
      <c r="E4" t="s">
        <v>137</v>
      </c>
      <c r="F4" t="s">
        <v>83</v>
      </c>
      <c r="G4" t="s">
        <v>84</v>
      </c>
      <c r="H4" t="s">
        <v>65</v>
      </c>
      <c r="I4" t="s">
        <v>85</v>
      </c>
      <c r="J4" t="s">
        <v>67</v>
      </c>
      <c r="K4" t="s">
        <v>86</v>
      </c>
      <c r="L4" t="s">
        <v>69</v>
      </c>
      <c r="M4" t="s">
        <v>87</v>
      </c>
      <c r="N4" t="s">
        <v>88</v>
      </c>
      <c r="Q4" t="s">
        <v>73</v>
      </c>
    </row>
    <row r="5" spans="1:17" x14ac:dyDescent="0.3">
      <c r="A5" t="s">
        <v>89</v>
      </c>
      <c r="B5" t="s">
        <v>61</v>
      </c>
      <c r="C5" t="s">
        <v>27</v>
      </c>
      <c r="D5" t="s">
        <v>90</v>
      </c>
      <c r="E5" t="s">
        <v>90</v>
      </c>
      <c r="F5" t="s">
        <v>91</v>
      </c>
      <c r="G5" t="s">
        <v>92</v>
      </c>
      <c r="H5" t="s">
        <v>65</v>
      </c>
      <c r="I5" t="s">
        <v>93</v>
      </c>
      <c r="J5" t="s">
        <v>67</v>
      </c>
      <c r="K5" t="s">
        <v>94</v>
      </c>
      <c r="L5" t="s">
        <v>69</v>
      </c>
      <c r="M5" t="s">
        <v>95</v>
      </c>
      <c r="N5" t="s">
        <v>96</v>
      </c>
      <c r="O5" t="s">
        <v>97</v>
      </c>
      <c r="Q5" t="s">
        <v>73</v>
      </c>
    </row>
    <row r="6" spans="1:17" x14ac:dyDescent="0.3">
      <c r="A6" t="s">
        <v>98</v>
      </c>
      <c r="B6" t="s">
        <v>61</v>
      </c>
      <c r="C6" t="s">
        <v>28</v>
      </c>
      <c r="D6" t="s">
        <v>99</v>
      </c>
      <c r="E6" t="s">
        <v>99</v>
      </c>
      <c r="F6" t="s">
        <v>91</v>
      </c>
      <c r="G6" t="s">
        <v>92</v>
      </c>
      <c r="H6" t="s">
        <v>65</v>
      </c>
      <c r="I6" t="s">
        <v>100</v>
      </c>
      <c r="J6" t="s">
        <v>67</v>
      </c>
      <c r="K6" t="s">
        <v>94</v>
      </c>
      <c r="L6" t="s">
        <v>69</v>
      </c>
      <c r="M6" t="s">
        <v>101</v>
      </c>
      <c r="N6" t="s">
        <v>102</v>
      </c>
      <c r="O6" t="s">
        <v>97</v>
      </c>
      <c r="Q6" t="s">
        <v>73</v>
      </c>
    </row>
    <row r="7" spans="1:17" x14ac:dyDescent="0.3">
      <c r="A7" t="s">
        <v>103</v>
      </c>
      <c r="B7" t="s">
        <v>61</v>
      </c>
      <c r="C7" t="s">
        <v>29</v>
      </c>
      <c r="D7" t="s">
        <v>104</v>
      </c>
      <c r="E7" t="s">
        <v>104</v>
      </c>
      <c r="F7" t="s">
        <v>105</v>
      </c>
      <c r="G7" t="s">
        <v>106</v>
      </c>
      <c r="H7" t="s">
        <v>65</v>
      </c>
      <c r="I7" t="s">
        <v>107</v>
      </c>
      <c r="J7" t="s">
        <v>67</v>
      </c>
      <c r="K7" t="s">
        <v>68</v>
      </c>
      <c r="L7" t="s">
        <v>69</v>
      </c>
      <c r="M7" t="s">
        <v>108</v>
      </c>
      <c r="N7" t="s">
        <v>109</v>
      </c>
      <c r="O7" t="s">
        <v>72</v>
      </c>
      <c r="P7" t="s">
        <v>110</v>
      </c>
      <c r="Q7" t="s">
        <v>73</v>
      </c>
    </row>
    <row r="8" spans="1:17" x14ac:dyDescent="0.3">
      <c r="A8" t="s">
        <v>111</v>
      </c>
      <c r="B8" t="s">
        <v>61</v>
      </c>
      <c r="C8" t="s">
        <v>30</v>
      </c>
      <c r="D8" t="s">
        <v>112</v>
      </c>
      <c r="E8" t="s">
        <v>112</v>
      </c>
      <c r="F8" t="s">
        <v>113</v>
      </c>
      <c r="G8" t="s">
        <v>64</v>
      </c>
      <c r="H8" t="s">
        <v>65</v>
      </c>
      <c r="I8" t="s">
        <v>114</v>
      </c>
      <c r="J8" t="s">
        <v>67</v>
      </c>
      <c r="K8" t="s">
        <v>68</v>
      </c>
      <c r="L8" t="s">
        <v>69</v>
      </c>
      <c r="M8" t="s">
        <v>115</v>
      </c>
      <c r="N8" t="s">
        <v>71</v>
      </c>
      <c r="O8" t="s">
        <v>116</v>
      </c>
      <c r="P8" t="s">
        <v>117</v>
      </c>
      <c r="Q8" t="s">
        <v>73</v>
      </c>
    </row>
    <row r="9" spans="1:17" x14ac:dyDescent="0.3">
      <c r="A9" t="s">
        <v>118</v>
      </c>
      <c r="B9" t="s">
        <v>61</v>
      </c>
      <c r="C9" t="s">
        <v>31</v>
      </c>
      <c r="D9" t="s">
        <v>119</v>
      </c>
      <c r="E9" t="s">
        <v>119</v>
      </c>
      <c r="F9" t="s">
        <v>120</v>
      </c>
      <c r="G9" t="s">
        <v>121</v>
      </c>
      <c r="H9" t="s">
        <v>65</v>
      </c>
      <c r="I9" t="s">
        <v>122</v>
      </c>
      <c r="J9" t="s">
        <v>67</v>
      </c>
      <c r="K9" t="s">
        <v>94</v>
      </c>
      <c r="L9" t="s">
        <v>123</v>
      </c>
      <c r="M9" t="s">
        <v>124</v>
      </c>
      <c r="N9" t="s">
        <v>125</v>
      </c>
      <c r="O9" t="s">
        <v>126</v>
      </c>
      <c r="Q9" t="s">
        <v>73</v>
      </c>
    </row>
    <row r="10" spans="1:17" x14ac:dyDescent="0.3">
      <c r="A10" t="s">
        <v>127</v>
      </c>
      <c r="B10" t="s">
        <v>61</v>
      </c>
      <c r="C10" t="s">
        <v>32</v>
      </c>
      <c r="D10" t="s">
        <v>128</v>
      </c>
      <c r="E10" t="s">
        <v>128</v>
      </c>
      <c r="F10" t="s">
        <v>129</v>
      </c>
      <c r="G10" t="s">
        <v>130</v>
      </c>
      <c r="H10" t="s">
        <v>65</v>
      </c>
      <c r="I10" t="s">
        <v>131</v>
      </c>
      <c r="J10" t="s">
        <v>67</v>
      </c>
      <c r="K10" t="s">
        <v>132</v>
      </c>
      <c r="L10" t="s">
        <v>69</v>
      </c>
      <c r="M10" t="s">
        <v>133</v>
      </c>
      <c r="N10" t="s">
        <v>134</v>
      </c>
      <c r="O10" t="s">
        <v>135</v>
      </c>
      <c r="Q10" t="s">
        <v>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E8F55-63B2-44BA-BB0F-7082A6123E14}">
  <dimension ref="B2:Q11"/>
  <sheetViews>
    <sheetView tabSelected="1" zoomScale="49" zoomScaleNormal="100" workbookViewId="0">
      <selection activeCell="L4" sqref="L4"/>
    </sheetView>
  </sheetViews>
  <sheetFormatPr defaultRowHeight="14.4" x14ac:dyDescent="0.3"/>
  <cols>
    <col min="2" max="2" width="28.21875" customWidth="1"/>
    <col min="3" max="5" width="13.33203125" bestFit="1" customWidth="1"/>
    <col min="6" max="6" width="10.77734375" bestFit="1" customWidth="1"/>
    <col min="7" max="7" width="13.33203125" bestFit="1" customWidth="1"/>
    <col min="8" max="8" width="9.21875" bestFit="1" customWidth="1"/>
    <col min="11" max="11" width="26.109375" style="3" customWidth="1"/>
    <col min="12" max="12" width="12.33203125" customWidth="1"/>
    <col min="13" max="14" width="12.44140625" bestFit="1" customWidth="1"/>
    <col min="15" max="15" width="10.44140625" bestFit="1" customWidth="1"/>
    <col min="16" max="16" width="12.44140625" bestFit="1" customWidth="1"/>
    <col min="17" max="17" width="9.109375" bestFit="1" customWidth="1"/>
  </cols>
  <sheetData>
    <row r="2" spans="2:17" x14ac:dyDescent="0.3">
      <c r="B2" s="5" t="s">
        <v>139</v>
      </c>
      <c r="C2" s="5" t="s">
        <v>140</v>
      </c>
      <c r="D2" s="5" t="s">
        <v>141</v>
      </c>
      <c r="E2" s="5" t="s">
        <v>142</v>
      </c>
      <c r="F2" s="5" t="s">
        <v>143</v>
      </c>
      <c r="G2" s="5" t="s">
        <v>144</v>
      </c>
      <c r="H2" s="5" t="s">
        <v>145</v>
      </c>
      <c r="K2" s="3" t="s">
        <v>139</v>
      </c>
      <c r="L2" s="7" t="s">
        <v>140</v>
      </c>
      <c r="M2" s="7" t="s">
        <v>141</v>
      </c>
      <c r="N2" s="7" t="s">
        <v>142</v>
      </c>
      <c r="O2" s="7" t="s">
        <v>143</v>
      </c>
      <c r="P2" s="7" t="s">
        <v>144</v>
      </c>
      <c r="Q2" s="7" t="s">
        <v>145</v>
      </c>
    </row>
    <row r="3" spans="2:17" ht="35.4" customHeight="1" x14ac:dyDescent="0.3">
      <c r="B3" s="6" t="s">
        <v>25</v>
      </c>
      <c r="C3" s="8">
        <f>AVERAGE('Cleaned Data'!C2:C217)</f>
        <v>73.810629177958461</v>
      </c>
      <c r="D3" s="8">
        <f>MEDIAN('Cleaned Data'!C$2:C$217)</f>
        <v>77.526829268292687</v>
      </c>
      <c r="E3" s="8">
        <f>_xlfn.STDEV.S('Cleaned Data'!C$2:C$217)</f>
        <v>10.587347874581072</v>
      </c>
      <c r="F3" s="8">
        <f>MIN('Cleaned Data'!C$2:C$217)</f>
        <v>47.936999999999998</v>
      </c>
      <c r="G3" s="8">
        <f>MAX('Cleaned Data'!C$2:C$217)</f>
        <v>84.056097560975616</v>
      </c>
      <c r="H3" s="8">
        <f>SKEW('Cleaned Data'!C$2:C$217)</f>
        <v>-1.2164728829575877</v>
      </c>
      <c r="K3" s="3" t="s">
        <v>25</v>
      </c>
      <c r="L3" s="4">
        <v>73.810629177958461</v>
      </c>
      <c r="M3" s="4">
        <v>77.526829268292687</v>
      </c>
      <c r="N3" s="4">
        <v>10.587347874581072</v>
      </c>
      <c r="O3" s="4">
        <v>47.936999999999998</v>
      </c>
      <c r="P3" s="4">
        <v>84.056097560975616</v>
      </c>
      <c r="Q3" s="4">
        <v>-1.2164728829575877</v>
      </c>
    </row>
    <row r="4" spans="2:17" ht="33.6" customHeight="1" x14ac:dyDescent="0.3">
      <c r="B4" s="6" t="s">
        <v>26</v>
      </c>
      <c r="C4" s="8">
        <f>AVERAGE('Cleaned Data'!D2:D217)</f>
        <v>27782.744945309587</v>
      </c>
      <c r="D4" s="8">
        <f>MEDIAN('Cleaned Data'!D$2:D$217)</f>
        <v>11729.413525651058</v>
      </c>
      <c r="E4" s="8">
        <f>_xlfn.STDEV.S('Cleaned Data'!D$2:D$217)</f>
        <v>27377.73104692089</v>
      </c>
      <c r="F4" s="8">
        <f>MIN('Cleaned Data'!D$2:D$217)</f>
        <v>528.49217911529468</v>
      </c>
      <c r="G4" s="8">
        <f>MAX('Cleaned Data'!D$2:D$217)</f>
        <v>90605.019427267951</v>
      </c>
      <c r="H4" s="8">
        <f>SKEW('Cleaned Data'!D$2:D$217)</f>
        <v>0.72644204623231012</v>
      </c>
      <c r="K4" s="3" t="s">
        <v>26</v>
      </c>
      <c r="L4" s="4">
        <v>27782.744945309587</v>
      </c>
      <c r="M4" s="4">
        <v>11729.413525651058</v>
      </c>
      <c r="N4" s="4">
        <v>27377.73104692089</v>
      </c>
      <c r="O4" s="4">
        <v>528.49217911529468</v>
      </c>
      <c r="P4" s="4">
        <v>90605.019427267951</v>
      </c>
      <c r="Q4" s="4">
        <v>0.72644204623231012</v>
      </c>
    </row>
    <row r="5" spans="2:17" ht="31.2" customHeight="1" x14ac:dyDescent="0.3">
      <c r="B5" s="6" t="s">
        <v>29</v>
      </c>
      <c r="C5" s="8">
        <f>AVERAGE('Cleaned Data'!E2:E217)</f>
        <v>2.5188796296296299</v>
      </c>
      <c r="D5" s="8">
        <f>MEDIAN('Cleaned Data'!E$2:E$217)</f>
        <v>1.7769999999999999</v>
      </c>
      <c r="E5" s="8">
        <f>_xlfn.STDEV.S('Cleaned Data'!E$2:E$217)</f>
        <v>1.7444388220995974</v>
      </c>
      <c r="F5" s="8">
        <f>MIN('Cleaned Data'!E$2:E$217)</f>
        <v>0.999</v>
      </c>
      <c r="G5" s="8">
        <f>MAX('Cleaned Data'!E$2:E$217)</f>
        <v>7.2489999999999997</v>
      </c>
      <c r="H5" s="8">
        <f>SKEW('Cleaned Data'!E$2:E$217)</f>
        <v>1.7451797523002699</v>
      </c>
      <c r="K5" s="3" t="s">
        <v>29</v>
      </c>
      <c r="L5" s="4">
        <v>2.5188796296296299</v>
      </c>
      <c r="M5" s="4">
        <v>1.7769999999999999</v>
      </c>
      <c r="N5" s="4">
        <v>1.7444388220995974</v>
      </c>
      <c r="O5" s="4">
        <v>0.999</v>
      </c>
      <c r="P5" s="4">
        <v>7.2489999999999997</v>
      </c>
      <c r="Q5" s="4">
        <v>1.7451797523002699</v>
      </c>
    </row>
    <row r="6" spans="2:17" ht="28.2" customHeight="1" x14ac:dyDescent="0.3">
      <c r="B6" s="6" t="s">
        <v>30</v>
      </c>
      <c r="C6" s="8">
        <f>AVERAGE('Cleaned Data'!F2:F217)</f>
        <v>19.289351851851855</v>
      </c>
      <c r="D6" s="8">
        <f>MEDIAN('Cleaned Data'!F$2:F$217)</f>
        <v>4.9000000000000004</v>
      </c>
      <c r="E6" s="8">
        <f>_xlfn.STDEV.S('Cleaned Data'!F$2:F$217)</f>
        <v>25.615101424224317</v>
      </c>
      <c r="F6" s="8">
        <f>MIN('Cleaned Data'!F$2:F$217)</f>
        <v>2</v>
      </c>
      <c r="G6" s="8">
        <f>MAX('Cleaned Data'!F$2:F$217)</f>
        <v>102</v>
      </c>
      <c r="H6" s="8">
        <f>SKEW('Cleaned Data'!F$2:F$217)</f>
        <v>1.7279124431275581</v>
      </c>
      <c r="K6" s="3" t="s">
        <v>30</v>
      </c>
      <c r="L6" s="4">
        <v>19.289351851851855</v>
      </c>
      <c r="M6" s="4">
        <v>4.9000000000000004</v>
      </c>
      <c r="N6" s="4">
        <v>25.615101424224317</v>
      </c>
      <c r="O6" s="4">
        <v>2</v>
      </c>
      <c r="P6" s="4">
        <v>102</v>
      </c>
      <c r="Q6" s="4">
        <v>1.7279124431275581</v>
      </c>
    </row>
    <row r="7" spans="2:17" ht="35.4" customHeight="1" x14ac:dyDescent="0.3">
      <c r="B7" s="6" t="s">
        <v>42</v>
      </c>
      <c r="C7" s="8">
        <f>AVERAGE('Cleaned Data'!G2:G217)</f>
        <v>2607.1585227988089</v>
      </c>
      <c r="D7" s="8">
        <f>MEDIAN('Cleaned Data'!G$2:G$217)</f>
        <v>910.43817138999998</v>
      </c>
      <c r="E7" s="8">
        <f>_xlfn.STDEV.S('Cleaned Data'!G$2:G$217)</f>
        <v>2929.7835285182455</v>
      </c>
      <c r="F7" s="8">
        <f>MIN('Cleaned Data'!G$2:G$217)</f>
        <v>10.07452297</v>
      </c>
      <c r="G7" s="8">
        <f>MAX('Cleaned Data'!G$2:G$217)</f>
        <v>11262.23046875</v>
      </c>
      <c r="H7" s="8">
        <f>SKEW('Cleaned Data'!G$2:G$217)</f>
        <v>1.0076034737789998</v>
      </c>
      <c r="K7" s="3" t="s">
        <v>42</v>
      </c>
      <c r="L7" s="4">
        <v>2607.1585227988089</v>
      </c>
      <c r="M7" s="4">
        <v>910.43817138999998</v>
      </c>
      <c r="N7" s="4">
        <v>2929.7835285182455</v>
      </c>
      <c r="O7" s="4">
        <v>10.07452297</v>
      </c>
      <c r="P7" s="4">
        <v>11262.23046875</v>
      </c>
      <c r="Q7" s="4">
        <v>1.0076034737789998</v>
      </c>
    </row>
    <row r="8" spans="2:17" ht="30" customHeight="1" x14ac:dyDescent="0.3">
      <c r="B8" s="6" t="s">
        <v>27</v>
      </c>
      <c r="C8" s="8">
        <f>AVERAGE('Cleaned Data'!H2:H217)</f>
        <v>86.913416324955577</v>
      </c>
      <c r="D8" s="8">
        <f>MEDIAN('Cleaned Data'!H$2:H$217)</f>
        <v>94.599954999999994</v>
      </c>
      <c r="E8" s="8">
        <f>_xlfn.STDEV.S('Cleaned Data'!H$2:H$217)</f>
        <v>30.860671054638406</v>
      </c>
      <c r="F8" s="8">
        <f>MIN('Cleaned Data'!H$2:H$217)</f>
        <v>10.964280128479</v>
      </c>
      <c r="G8" s="8">
        <f>MAX('Cleaned Data'!H$2:H$217)</f>
        <v>151.75637817382801</v>
      </c>
      <c r="H8" s="8">
        <f>SKEW('Cleaned Data'!H$2:H$217)</f>
        <v>-0.87911607021478033</v>
      </c>
      <c r="K8" s="3" t="s">
        <v>27</v>
      </c>
      <c r="L8" s="4">
        <v>86.913416324955577</v>
      </c>
      <c r="M8" s="4">
        <v>94.599954999999994</v>
      </c>
      <c r="N8" s="4">
        <v>30.860671054638406</v>
      </c>
      <c r="O8" s="4">
        <v>10.964280128479</v>
      </c>
      <c r="P8" s="4">
        <v>151.75637817382801</v>
      </c>
      <c r="Q8" s="4">
        <v>-0.87911607021478033</v>
      </c>
    </row>
    <row r="9" spans="2:17" ht="28.8" customHeight="1" x14ac:dyDescent="0.3">
      <c r="B9" s="6" t="s">
        <v>28</v>
      </c>
      <c r="C9" s="8">
        <f>AVERAGE('Cleaned Data'!I2:I217)</f>
        <v>50.935832634637208</v>
      </c>
      <c r="D9" s="8">
        <f>MEDIAN('Cleaned Data'!I$2:I$217)</f>
        <v>53.666524887084947</v>
      </c>
      <c r="E9" s="8">
        <f>_xlfn.STDEV.S('Cleaned Data'!I$2:I$217)</f>
        <v>33.587630364904904</v>
      </c>
      <c r="F9" s="8">
        <f>MIN('Cleaned Data'!I$2:I$217)</f>
        <v>0.79297000169753995</v>
      </c>
      <c r="G9" s="8">
        <f>MAX('Cleaned Data'!I$2:I$217)</f>
        <v>119.682777404785</v>
      </c>
      <c r="H9" s="8">
        <f>SKEW('Cleaned Data'!I$2:I$217)</f>
        <v>0.12069933086685641</v>
      </c>
      <c r="K9" s="3" t="s">
        <v>28</v>
      </c>
      <c r="L9" s="4">
        <v>50.935832634637208</v>
      </c>
      <c r="M9" s="4">
        <v>53.666524887084947</v>
      </c>
      <c r="N9" s="4">
        <v>33.587630364904904</v>
      </c>
      <c r="O9" s="4">
        <v>0.79297000169753995</v>
      </c>
      <c r="P9" s="4">
        <v>119.682777404785</v>
      </c>
      <c r="Q9" s="4">
        <v>0.12069933086685641</v>
      </c>
    </row>
    <row r="10" spans="2:17" ht="45" customHeight="1" x14ac:dyDescent="0.3">
      <c r="B10" s="6" t="s">
        <v>31</v>
      </c>
      <c r="C10" s="8">
        <f>AVERAGE('Cleaned Data'!J2:J217)</f>
        <v>5.6721033554591065</v>
      </c>
      <c r="D10" s="8">
        <f>MEDIAN('Cleaned Data'!J$2:J$217)</f>
        <v>5.0178454030114503</v>
      </c>
      <c r="E10" s="8">
        <f>_xlfn.STDEV.S('Cleaned Data'!J$2:J$217)</f>
        <v>5.0685850595899327</v>
      </c>
      <c r="F10" s="8">
        <f>MIN('Cleaned Data'!J$2:J$217)</f>
        <v>2.7464401909832254E-2</v>
      </c>
      <c r="G10" s="8">
        <f>MAX('Cleaned Data'!J$2:J$217)</f>
        <v>19.237208165195238</v>
      </c>
      <c r="H10" s="8">
        <f>SKEW('Cleaned Data'!J$2:J$217)</f>
        <v>1.2227195647673388</v>
      </c>
      <c r="K10" s="3" t="s">
        <v>31</v>
      </c>
      <c r="L10" s="4">
        <v>5.6721033554591065</v>
      </c>
      <c r="M10" s="4">
        <v>5.0178454030114503</v>
      </c>
      <c r="N10" s="4">
        <v>5.0685850595899327</v>
      </c>
      <c r="O10" s="4">
        <v>2.7464401909832254E-2</v>
      </c>
      <c r="P10" s="4">
        <v>19.237208165195238</v>
      </c>
      <c r="Q10" s="4">
        <v>1.2227195647673388</v>
      </c>
    </row>
    <row r="11" spans="2:17" ht="47.4" customHeight="1" x14ac:dyDescent="0.3">
      <c r="B11" s="6" t="s">
        <v>32</v>
      </c>
      <c r="C11" s="8">
        <f>AVERAGE('Cleaned Data'!K2:K217)</f>
        <v>77.37495248032377</v>
      </c>
      <c r="D11" s="8">
        <f>MEDIAN('Cleaned Data'!K$2:K$217)</f>
        <v>95.835620703472642</v>
      </c>
      <c r="E11" s="8">
        <f>_xlfn.STDEV.S('Cleaned Data'!K$2:K$217)</f>
        <v>31.525435452717488</v>
      </c>
      <c r="F11" s="8">
        <f>MIN('Cleaned Data'!K$2:K$217)</f>
        <v>9.6926743015075996</v>
      </c>
      <c r="G11" s="8">
        <f>MAX('Cleaned Data'!K$2:K$217)</f>
        <v>100</v>
      </c>
      <c r="H11" s="8">
        <f>SKEW('Cleaned Data'!K$2:K$217)</f>
        <v>-1.2028619879774154</v>
      </c>
      <c r="K11" s="3" t="s">
        <v>32</v>
      </c>
      <c r="L11" s="4">
        <v>77.37495248032377</v>
      </c>
      <c r="M11" s="4">
        <v>95.835620703472642</v>
      </c>
      <c r="N11" s="4">
        <v>31.525435452717488</v>
      </c>
      <c r="O11" s="4">
        <v>9.6926743015075996</v>
      </c>
      <c r="P11" s="4">
        <v>100</v>
      </c>
      <c r="Q11" s="4">
        <v>-1.2028619879774154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Series - Metadata</vt:lpstr>
      <vt:lpstr>Stats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Aleksandra D</cp:lastModifiedBy>
  <cp:revision/>
  <dcterms:created xsi:type="dcterms:W3CDTF">2025-11-03T15:12:00Z</dcterms:created>
  <dcterms:modified xsi:type="dcterms:W3CDTF">2025-11-21T13:07:58Z</dcterms:modified>
  <cp:category/>
  <cp:contentStatus/>
</cp:coreProperties>
</file>